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bb29\OneDrive\바탕 화면\CLAUDE CODE\Lecture\03_기관별_커스텀\미래엔\프롬프트엔지니어링_전사교육\업무자동화_자료\"/>
    </mc:Choice>
  </mc:AlternateContent>
  <xr:revisionPtr revIDLastSave="0" documentId="13_ncr:1_{1D51C2B9-AF39-4031-A915-0C9484A2549E}" xr6:coauthVersionLast="47" xr6:coauthVersionMax="47" xr10:uidLastSave="{00000000-0000-0000-0000-000000000000}"/>
  <bookViews>
    <workbookView xWindow="680" yWindow="1947" windowWidth="14400" windowHeight="8320" xr2:uid="{00000000-000D-0000-FFFF-FFFF00000000}"/>
  </bookViews>
  <sheets>
    <sheet name="신청자명단" sheetId="1" r:id="rId1"/>
    <sheet name="부서코드표" sheetId="2" r:id="rId2"/>
    <sheet name="프로그램표" sheetId="3" r:id="rId3"/>
    <sheet name="집계" sheetId="4" r:id="rId4"/>
    <sheet name="실습 안내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C7" i="4"/>
  <c r="E7" i="4" s="1"/>
  <c r="D6" i="4"/>
  <c r="C6" i="4"/>
  <c r="E6" i="4" s="1"/>
  <c r="D5" i="4"/>
  <c r="C5" i="4"/>
  <c r="E5" i="4" s="1"/>
  <c r="D4" i="4"/>
  <c r="C4" i="4"/>
  <c r="E4" i="4" s="1"/>
  <c r="D3" i="4"/>
  <c r="C3" i="4"/>
  <c r="E3" i="4" s="1"/>
  <c r="D2" i="4"/>
  <c r="C2" i="4"/>
  <c r="E2" i="4" s="1"/>
  <c r="M151" i="1"/>
  <c r="K151" i="1"/>
  <c r="L151" i="1" s="1"/>
  <c r="J151" i="1"/>
  <c r="I151" i="1"/>
  <c r="M150" i="1"/>
  <c r="K150" i="1"/>
  <c r="L150" i="1" s="1"/>
  <c r="J150" i="1"/>
  <c r="I150" i="1"/>
  <c r="M149" i="1"/>
  <c r="K149" i="1"/>
  <c r="L149" i="1" s="1"/>
  <c r="J149" i="1"/>
  <c r="I149" i="1"/>
  <c r="M148" i="1"/>
  <c r="K148" i="1"/>
  <c r="L148" i="1" s="1"/>
  <c r="J148" i="1"/>
  <c r="I148" i="1"/>
  <c r="M147" i="1"/>
  <c r="L147" i="1"/>
  <c r="K147" i="1"/>
  <c r="J147" i="1"/>
  <c r="I147" i="1"/>
  <c r="M146" i="1"/>
  <c r="K146" i="1"/>
  <c r="L146" i="1" s="1"/>
  <c r="J146" i="1"/>
  <c r="I146" i="1"/>
  <c r="M145" i="1"/>
  <c r="K145" i="1"/>
  <c r="L145" i="1" s="1"/>
  <c r="J145" i="1"/>
  <c r="I145" i="1"/>
  <c r="M144" i="1"/>
  <c r="K144" i="1"/>
  <c r="L144" i="1" s="1"/>
  <c r="J144" i="1"/>
  <c r="I144" i="1"/>
  <c r="M143" i="1"/>
  <c r="K143" i="1"/>
  <c r="L143" i="1" s="1"/>
  <c r="J143" i="1"/>
  <c r="I143" i="1"/>
  <c r="M142" i="1"/>
  <c r="K142" i="1"/>
  <c r="L142" i="1" s="1"/>
  <c r="J142" i="1"/>
  <c r="I142" i="1"/>
  <c r="M141" i="1"/>
  <c r="K141" i="1"/>
  <c r="L141" i="1" s="1"/>
  <c r="J141" i="1"/>
  <c r="I141" i="1"/>
  <c r="M140" i="1"/>
  <c r="L140" i="1"/>
  <c r="K140" i="1"/>
  <c r="J140" i="1"/>
  <c r="I140" i="1"/>
  <c r="M139" i="1"/>
  <c r="K139" i="1"/>
  <c r="L139" i="1" s="1"/>
  <c r="J139" i="1"/>
  <c r="I139" i="1"/>
  <c r="M138" i="1"/>
  <c r="K138" i="1"/>
  <c r="L138" i="1" s="1"/>
  <c r="J138" i="1"/>
  <c r="I138" i="1"/>
  <c r="M137" i="1"/>
  <c r="K137" i="1"/>
  <c r="L137" i="1" s="1"/>
  <c r="J137" i="1"/>
  <c r="I137" i="1"/>
  <c r="M136" i="1"/>
  <c r="K136" i="1"/>
  <c r="L136" i="1" s="1"/>
  <c r="J136" i="1"/>
  <c r="I136" i="1"/>
  <c r="M135" i="1"/>
  <c r="K135" i="1"/>
  <c r="L135" i="1" s="1"/>
  <c r="J135" i="1"/>
  <c r="I135" i="1"/>
  <c r="M134" i="1"/>
  <c r="K134" i="1"/>
  <c r="L134" i="1" s="1"/>
  <c r="J134" i="1"/>
  <c r="I134" i="1"/>
  <c r="M133" i="1"/>
  <c r="K133" i="1"/>
  <c r="L133" i="1" s="1"/>
  <c r="J133" i="1"/>
  <c r="I133" i="1"/>
  <c r="M132" i="1"/>
  <c r="K132" i="1"/>
  <c r="L132" i="1" s="1"/>
  <c r="J132" i="1"/>
  <c r="I132" i="1"/>
  <c r="M131" i="1"/>
  <c r="K131" i="1"/>
  <c r="L131" i="1" s="1"/>
  <c r="J131" i="1"/>
  <c r="I131" i="1"/>
  <c r="M130" i="1"/>
  <c r="K130" i="1"/>
  <c r="L130" i="1" s="1"/>
  <c r="J130" i="1"/>
  <c r="I130" i="1"/>
  <c r="M129" i="1"/>
  <c r="K129" i="1"/>
  <c r="L129" i="1" s="1"/>
  <c r="J129" i="1"/>
  <c r="I129" i="1"/>
  <c r="M128" i="1"/>
  <c r="K128" i="1"/>
  <c r="L128" i="1" s="1"/>
  <c r="J128" i="1"/>
  <c r="I128" i="1"/>
  <c r="M127" i="1"/>
  <c r="K127" i="1"/>
  <c r="L127" i="1" s="1"/>
  <c r="J127" i="1"/>
  <c r="I127" i="1"/>
  <c r="M126" i="1"/>
  <c r="K126" i="1"/>
  <c r="L126" i="1" s="1"/>
  <c r="J126" i="1"/>
  <c r="I126" i="1"/>
  <c r="M125" i="1"/>
  <c r="K125" i="1"/>
  <c r="L125" i="1" s="1"/>
  <c r="J125" i="1"/>
  <c r="I125" i="1"/>
  <c r="M124" i="1"/>
  <c r="K124" i="1"/>
  <c r="L124" i="1" s="1"/>
  <c r="J124" i="1"/>
  <c r="I124" i="1"/>
  <c r="M123" i="1"/>
  <c r="K123" i="1"/>
  <c r="L123" i="1" s="1"/>
  <c r="J123" i="1"/>
  <c r="I123" i="1"/>
  <c r="M122" i="1"/>
  <c r="K122" i="1"/>
  <c r="L122" i="1" s="1"/>
  <c r="J122" i="1"/>
  <c r="I122" i="1"/>
  <c r="M121" i="1"/>
  <c r="K121" i="1"/>
  <c r="L121" i="1" s="1"/>
  <c r="J121" i="1"/>
  <c r="I121" i="1"/>
  <c r="M120" i="1"/>
  <c r="K120" i="1"/>
  <c r="L120" i="1" s="1"/>
  <c r="J120" i="1"/>
  <c r="I120" i="1"/>
  <c r="M119" i="1"/>
  <c r="K119" i="1"/>
  <c r="L119" i="1" s="1"/>
  <c r="J119" i="1"/>
  <c r="I119" i="1"/>
  <c r="M118" i="1"/>
  <c r="K118" i="1"/>
  <c r="L118" i="1" s="1"/>
  <c r="J118" i="1"/>
  <c r="I118" i="1"/>
  <c r="M117" i="1"/>
  <c r="K117" i="1"/>
  <c r="L117" i="1" s="1"/>
  <c r="J117" i="1"/>
  <c r="I117" i="1"/>
  <c r="M116" i="1"/>
  <c r="K116" i="1"/>
  <c r="L116" i="1" s="1"/>
  <c r="J116" i="1"/>
  <c r="I116" i="1"/>
  <c r="M115" i="1"/>
  <c r="K115" i="1"/>
  <c r="L115" i="1" s="1"/>
  <c r="J115" i="1"/>
  <c r="I115" i="1"/>
  <c r="M114" i="1"/>
  <c r="K114" i="1"/>
  <c r="L114" i="1" s="1"/>
  <c r="J114" i="1"/>
  <c r="I114" i="1"/>
  <c r="M113" i="1"/>
  <c r="K113" i="1"/>
  <c r="L113" i="1" s="1"/>
  <c r="J113" i="1"/>
  <c r="I113" i="1"/>
  <c r="M112" i="1"/>
  <c r="K112" i="1"/>
  <c r="L112" i="1" s="1"/>
  <c r="J112" i="1"/>
  <c r="I112" i="1"/>
  <c r="M111" i="1"/>
  <c r="K111" i="1"/>
  <c r="L111" i="1" s="1"/>
  <c r="J111" i="1"/>
  <c r="I111" i="1"/>
  <c r="M110" i="1"/>
  <c r="K110" i="1"/>
  <c r="L110" i="1" s="1"/>
  <c r="J110" i="1"/>
  <c r="I110" i="1"/>
  <c r="M109" i="1"/>
  <c r="K109" i="1"/>
  <c r="L109" i="1" s="1"/>
  <c r="J109" i="1"/>
  <c r="I109" i="1"/>
  <c r="M108" i="1"/>
  <c r="K108" i="1"/>
  <c r="L108" i="1" s="1"/>
  <c r="J108" i="1"/>
  <c r="I108" i="1"/>
  <c r="M107" i="1"/>
  <c r="K107" i="1"/>
  <c r="L107" i="1" s="1"/>
  <c r="J107" i="1"/>
  <c r="I107" i="1"/>
  <c r="M106" i="1"/>
  <c r="K106" i="1"/>
  <c r="L106" i="1" s="1"/>
  <c r="J106" i="1"/>
  <c r="I106" i="1"/>
  <c r="M105" i="1"/>
  <c r="K105" i="1"/>
  <c r="L105" i="1" s="1"/>
  <c r="J105" i="1"/>
  <c r="I105" i="1"/>
  <c r="M104" i="1"/>
  <c r="K104" i="1"/>
  <c r="L104" i="1" s="1"/>
  <c r="J104" i="1"/>
  <c r="I104" i="1"/>
  <c r="M103" i="1"/>
  <c r="K103" i="1"/>
  <c r="L103" i="1" s="1"/>
  <c r="J103" i="1"/>
  <c r="I103" i="1"/>
  <c r="M102" i="1"/>
  <c r="K102" i="1"/>
  <c r="L102" i="1" s="1"/>
  <c r="J102" i="1"/>
  <c r="I102" i="1"/>
  <c r="M101" i="1"/>
  <c r="K101" i="1"/>
  <c r="L101" i="1" s="1"/>
  <c r="J101" i="1"/>
  <c r="I101" i="1"/>
  <c r="M100" i="1"/>
  <c r="K100" i="1"/>
  <c r="L100" i="1" s="1"/>
  <c r="J100" i="1"/>
  <c r="I100" i="1"/>
  <c r="M99" i="1"/>
  <c r="K99" i="1"/>
  <c r="L99" i="1" s="1"/>
  <c r="J99" i="1"/>
  <c r="I99" i="1"/>
  <c r="M98" i="1"/>
  <c r="K98" i="1"/>
  <c r="L98" i="1" s="1"/>
  <c r="J98" i="1"/>
  <c r="I98" i="1"/>
  <c r="M97" i="1"/>
  <c r="K97" i="1"/>
  <c r="L97" i="1" s="1"/>
  <c r="J97" i="1"/>
  <c r="I97" i="1"/>
  <c r="M96" i="1"/>
  <c r="K96" i="1"/>
  <c r="L96" i="1" s="1"/>
  <c r="J96" i="1"/>
  <c r="I96" i="1"/>
  <c r="M95" i="1"/>
  <c r="K95" i="1"/>
  <c r="L95" i="1" s="1"/>
  <c r="J95" i="1"/>
  <c r="I95" i="1"/>
  <c r="M94" i="1"/>
  <c r="K94" i="1"/>
  <c r="L94" i="1" s="1"/>
  <c r="J94" i="1"/>
  <c r="I94" i="1"/>
  <c r="M93" i="1"/>
  <c r="K93" i="1"/>
  <c r="L93" i="1" s="1"/>
  <c r="J93" i="1"/>
  <c r="I93" i="1"/>
  <c r="M92" i="1"/>
  <c r="K92" i="1"/>
  <c r="L92" i="1" s="1"/>
  <c r="J92" i="1"/>
  <c r="I92" i="1"/>
  <c r="M91" i="1"/>
  <c r="K91" i="1"/>
  <c r="L91" i="1" s="1"/>
  <c r="J91" i="1"/>
  <c r="I91" i="1"/>
  <c r="M90" i="1"/>
  <c r="K90" i="1"/>
  <c r="L90" i="1" s="1"/>
  <c r="J90" i="1"/>
  <c r="I90" i="1"/>
  <c r="M89" i="1"/>
  <c r="K89" i="1"/>
  <c r="L89" i="1" s="1"/>
  <c r="J89" i="1"/>
  <c r="I89" i="1"/>
  <c r="M88" i="1"/>
  <c r="K88" i="1"/>
  <c r="L88" i="1" s="1"/>
  <c r="J88" i="1"/>
  <c r="I88" i="1"/>
  <c r="M87" i="1"/>
  <c r="K87" i="1"/>
  <c r="L87" i="1" s="1"/>
  <c r="J87" i="1"/>
  <c r="I87" i="1"/>
  <c r="M86" i="1"/>
  <c r="K86" i="1"/>
  <c r="L86" i="1" s="1"/>
  <c r="J86" i="1"/>
  <c r="I86" i="1"/>
  <c r="M85" i="1"/>
  <c r="K85" i="1"/>
  <c r="L85" i="1" s="1"/>
  <c r="J85" i="1"/>
  <c r="I85" i="1"/>
  <c r="M84" i="1"/>
  <c r="K84" i="1"/>
  <c r="L84" i="1" s="1"/>
  <c r="J84" i="1"/>
  <c r="I84" i="1"/>
  <c r="M83" i="1"/>
  <c r="K83" i="1"/>
  <c r="L83" i="1" s="1"/>
  <c r="J83" i="1"/>
  <c r="I83" i="1"/>
  <c r="M82" i="1"/>
  <c r="L82" i="1"/>
  <c r="K82" i="1"/>
  <c r="J82" i="1"/>
  <c r="I82" i="1"/>
  <c r="M81" i="1"/>
  <c r="K81" i="1"/>
  <c r="L81" i="1" s="1"/>
  <c r="J81" i="1"/>
  <c r="I81" i="1"/>
  <c r="M80" i="1"/>
  <c r="K80" i="1"/>
  <c r="L80" i="1" s="1"/>
  <c r="J80" i="1"/>
  <c r="I80" i="1"/>
  <c r="M79" i="1"/>
  <c r="K79" i="1"/>
  <c r="L79" i="1" s="1"/>
  <c r="J79" i="1"/>
  <c r="I79" i="1"/>
  <c r="M78" i="1"/>
  <c r="K78" i="1"/>
  <c r="L78" i="1" s="1"/>
  <c r="J78" i="1"/>
  <c r="I78" i="1"/>
  <c r="M77" i="1"/>
  <c r="K77" i="1"/>
  <c r="L77" i="1" s="1"/>
  <c r="J77" i="1"/>
  <c r="I77" i="1"/>
  <c r="M76" i="1"/>
  <c r="K76" i="1"/>
  <c r="L76" i="1" s="1"/>
  <c r="J76" i="1"/>
  <c r="I76" i="1"/>
  <c r="M75" i="1"/>
  <c r="K75" i="1"/>
  <c r="L75" i="1" s="1"/>
  <c r="J75" i="1"/>
  <c r="I75" i="1"/>
  <c r="M74" i="1"/>
  <c r="K74" i="1"/>
  <c r="L74" i="1" s="1"/>
  <c r="J74" i="1"/>
  <c r="I74" i="1"/>
  <c r="M73" i="1"/>
  <c r="K73" i="1"/>
  <c r="L73" i="1" s="1"/>
  <c r="J73" i="1"/>
  <c r="I73" i="1"/>
  <c r="M72" i="1"/>
  <c r="K72" i="1"/>
  <c r="L72" i="1" s="1"/>
  <c r="J72" i="1"/>
  <c r="I72" i="1"/>
  <c r="M71" i="1"/>
  <c r="K71" i="1"/>
  <c r="L71" i="1" s="1"/>
  <c r="J71" i="1"/>
  <c r="I71" i="1"/>
  <c r="M70" i="1"/>
  <c r="K70" i="1"/>
  <c r="L70" i="1" s="1"/>
  <c r="J70" i="1"/>
  <c r="I70" i="1"/>
  <c r="M69" i="1"/>
  <c r="K69" i="1"/>
  <c r="L69" i="1" s="1"/>
  <c r="J69" i="1"/>
  <c r="I69" i="1"/>
  <c r="M68" i="1"/>
  <c r="K68" i="1"/>
  <c r="L68" i="1" s="1"/>
  <c r="J68" i="1"/>
  <c r="I68" i="1"/>
  <c r="M67" i="1"/>
  <c r="K67" i="1"/>
  <c r="L67" i="1" s="1"/>
  <c r="J67" i="1"/>
  <c r="I67" i="1"/>
  <c r="M66" i="1"/>
  <c r="K66" i="1"/>
  <c r="L66" i="1" s="1"/>
  <c r="J66" i="1"/>
  <c r="I66" i="1"/>
  <c r="M65" i="1"/>
  <c r="K65" i="1"/>
  <c r="L65" i="1" s="1"/>
  <c r="J65" i="1"/>
  <c r="I65" i="1"/>
  <c r="M64" i="1"/>
  <c r="L64" i="1"/>
  <c r="K64" i="1"/>
  <c r="J64" i="1"/>
  <c r="I64" i="1"/>
  <c r="M63" i="1"/>
  <c r="K63" i="1"/>
  <c r="L63" i="1" s="1"/>
  <c r="J63" i="1"/>
  <c r="I63" i="1"/>
  <c r="M62" i="1"/>
  <c r="K62" i="1"/>
  <c r="L62" i="1" s="1"/>
  <c r="J62" i="1"/>
  <c r="I62" i="1"/>
  <c r="M61" i="1"/>
  <c r="K61" i="1"/>
  <c r="L61" i="1" s="1"/>
  <c r="J61" i="1"/>
  <c r="I61" i="1"/>
  <c r="M60" i="1"/>
  <c r="K60" i="1"/>
  <c r="L60" i="1" s="1"/>
  <c r="J60" i="1"/>
  <c r="I60" i="1"/>
  <c r="M59" i="1"/>
  <c r="L59" i="1"/>
  <c r="K59" i="1"/>
  <c r="J59" i="1"/>
  <c r="I59" i="1"/>
  <c r="M58" i="1"/>
  <c r="K58" i="1"/>
  <c r="L58" i="1" s="1"/>
  <c r="J58" i="1"/>
  <c r="I58" i="1"/>
  <c r="M57" i="1"/>
  <c r="K57" i="1"/>
  <c r="L57" i="1" s="1"/>
  <c r="J57" i="1"/>
  <c r="I57" i="1"/>
  <c r="M56" i="1"/>
  <c r="K56" i="1"/>
  <c r="L56" i="1" s="1"/>
  <c r="J56" i="1"/>
  <c r="I56" i="1"/>
  <c r="M55" i="1"/>
  <c r="K55" i="1"/>
  <c r="L55" i="1" s="1"/>
  <c r="J55" i="1"/>
  <c r="I55" i="1"/>
  <c r="M54" i="1"/>
  <c r="K54" i="1"/>
  <c r="L54" i="1" s="1"/>
  <c r="J54" i="1"/>
  <c r="I54" i="1"/>
  <c r="M53" i="1"/>
  <c r="K53" i="1"/>
  <c r="L53" i="1" s="1"/>
  <c r="J53" i="1"/>
  <c r="I53" i="1"/>
  <c r="M52" i="1"/>
  <c r="K52" i="1"/>
  <c r="L52" i="1" s="1"/>
  <c r="J52" i="1"/>
  <c r="I52" i="1"/>
  <c r="M51" i="1"/>
  <c r="K51" i="1"/>
  <c r="L51" i="1" s="1"/>
  <c r="J51" i="1"/>
  <c r="I51" i="1"/>
  <c r="M50" i="1"/>
  <c r="K50" i="1"/>
  <c r="L50" i="1" s="1"/>
  <c r="J50" i="1"/>
  <c r="I50" i="1"/>
  <c r="M49" i="1"/>
  <c r="K49" i="1"/>
  <c r="L49" i="1" s="1"/>
  <c r="J49" i="1"/>
  <c r="I49" i="1"/>
  <c r="M48" i="1"/>
  <c r="K48" i="1"/>
  <c r="L48" i="1" s="1"/>
  <c r="J48" i="1"/>
  <c r="I48" i="1"/>
  <c r="M47" i="1"/>
  <c r="K47" i="1"/>
  <c r="L47" i="1" s="1"/>
  <c r="J47" i="1"/>
  <c r="I47" i="1"/>
  <c r="M46" i="1"/>
  <c r="K46" i="1"/>
  <c r="L46" i="1" s="1"/>
  <c r="J46" i="1"/>
  <c r="I46" i="1"/>
  <c r="M45" i="1"/>
  <c r="K45" i="1"/>
  <c r="L45" i="1" s="1"/>
  <c r="J45" i="1"/>
  <c r="I45" i="1"/>
  <c r="M44" i="1"/>
  <c r="K44" i="1"/>
  <c r="L44" i="1" s="1"/>
  <c r="J44" i="1"/>
  <c r="I44" i="1"/>
  <c r="M43" i="1"/>
  <c r="K43" i="1"/>
  <c r="L43" i="1" s="1"/>
  <c r="J43" i="1"/>
  <c r="I43" i="1"/>
  <c r="M42" i="1"/>
  <c r="K42" i="1"/>
  <c r="L42" i="1" s="1"/>
  <c r="J42" i="1"/>
  <c r="I42" i="1"/>
  <c r="M41" i="1"/>
  <c r="K41" i="1"/>
  <c r="L41" i="1" s="1"/>
  <c r="J41" i="1"/>
  <c r="I41" i="1"/>
  <c r="M40" i="1"/>
  <c r="K40" i="1"/>
  <c r="L40" i="1" s="1"/>
  <c r="J40" i="1"/>
  <c r="I40" i="1"/>
  <c r="M39" i="1"/>
  <c r="K39" i="1"/>
  <c r="L39" i="1" s="1"/>
  <c r="J39" i="1"/>
  <c r="I39" i="1"/>
  <c r="M38" i="1"/>
  <c r="K38" i="1"/>
  <c r="L38" i="1" s="1"/>
  <c r="J38" i="1"/>
  <c r="I38" i="1"/>
  <c r="M37" i="1"/>
  <c r="K37" i="1"/>
  <c r="L37" i="1" s="1"/>
  <c r="J37" i="1"/>
  <c r="I37" i="1"/>
  <c r="M36" i="1"/>
  <c r="K36" i="1"/>
  <c r="L36" i="1" s="1"/>
  <c r="J36" i="1"/>
  <c r="I36" i="1"/>
  <c r="M35" i="1"/>
  <c r="K35" i="1"/>
  <c r="L35" i="1" s="1"/>
  <c r="J35" i="1"/>
  <c r="I35" i="1"/>
  <c r="M34" i="1"/>
  <c r="K34" i="1"/>
  <c r="L34" i="1" s="1"/>
  <c r="J34" i="1"/>
  <c r="I34" i="1"/>
  <c r="M33" i="1"/>
  <c r="K33" i="1"/>
  <c r="L33" i="1" s="1"/>
  <c r="J33" i="1"/>
  <c r="I33" i="1"/>
  <c r="M32" i="1"/>
  <c r="K32" i="1"/>
  <c r="L32" i="1" s="1"/>
  <c r="J32" i="1"/>
  <c r="I32" i="1"/>
  <c r="M31" i="1"/>
  <c r="K31" i="1"/>
  <c r="L31" i="1" s="1"/>
  <c r="J31" i="1"/>
  <c r="I31" i="1"/>
  <c r="M30" i="1"/>
  <c r="K30" i="1"/>
  <c r="L30" i="1" s="1"/>
  <c r="J30" i="1"/>
  <c r="I30" i="1"/>
  <c r="M29" i="1"/>
  <c r="K29" i="1"/>
  <c r="L29" i="1" s="1"/>
  <c r="J29" i="1"/>
  <c r="I29" i="1"/>
  <c r="M28" i="1"/>
  <c r="K28" i="1"/>
  <c r="L28" i="1" s="1"/>
  <c r="J28" i="1"/>
  <c r="I28" i="1"/>
  <c r="M27" i="1"/>
  <c r="K27" i="1"/>
  <c r="L27" i="1" s="1"/>
  <c r="J27" i="1"/>
  <c r="I27" i="1"/>
  <c r="M26" i="1"/>
  <c r="K26" i="1"/>
  <c r="L26" i="1" s="1"/>
  <c r="J26" i="1"/>
  <c r="I26" i="1"/>
  <c r="M25" i="1"/>
  <c r="K25" i="1"/>
  <c r="L25" i="1" s="1"/>
  <c r="J25" i="1"/>
  <c r="I25" i="1"/>
  <c r="M24" i="1"/>
  <c r="K24" i="1"/>
  <c r="L24" i="1" s="1"/>
  <c r="J24" i="1"/>
  <c r="I24" i="1"/>
  <c r="M23" i="1"/>
  <c r="K23" i="1"/>
  <c r="L23" i="1" s="1"/>
  <c r="J23" i="1"/>
  <c r="I23" i="1"/>
  <c r="M22" i="1"/>
  <c r="K22" i="1"/>
  <c r="L22" i="1" s="1"/>
  <c r="J22" i="1"/>
  <c r="I22" i="1"/>
  <c r="M21" i="1"/>
  <c r="K21" i="1"/>
  <c r="L21" i="1" s="1"/>
  <c r="J21" i="1"/>
  <c r="I21" i="1"/>
  <c r="M20" i="1"/>
  <c r="K20" i="1"/>
  <c r="L20" i="1" s="1"/>
  <c r="J20" i="1"/>
  <c r="I20" i="1"/>
  <c r="M19" i="1"/>
  <c r="K19" i="1"/>
  <c r="L19" i="1" s="1"/>
  <c r="J19" i="1"/>
  <c r="I19" i="1"/>
  <c r="M18" i="1"/>
  <c r="K18" i="1"/>
  <c r="L18" i="1" s="1"/>
  <c r="J18" i="1"/>
  <c r="I18" i="1"/>
  <c r="M17" i="1"/>
  <c r="K17" i="1"/>
  <c r="L17" i="1" s="1"/>
  <c r="J17" i="1"/>
  <c r="I17" i="1"/>
  <c r="M16" i="1"/>
  <c r="K16" i="1"/>
  <c r="L16" i="1" s="1"/>
  <c r="J16" i="1"/>
  <c r="I16" i="1"/>
  <c r="M15" i="1"/>
  <c r="K15" i="1"/>
  <c r="L15" i="1" s="1"/>
  <c r="J15" i="1"/>
  <c r="I15" i="1"/>
  <c r="M14" i="1"/>
  <c r="K14" i="1"/>
  <c r="L14" i="1" s="1"/>
  <c r="J14" i="1"/>
  <c r="I14" i="1"/>
  <c r="M13" i="1"/>
  <c r="K13" i="1"/>
  <c r="L13" i="1" s="1"/>
  <c r="J13" i="1"/>
  <c r="I13" i="1"/>
  <c r="M12" i="1"/>
  <c r="K12" i="1"/>
  <c r="L12" i="1" s="1"/>
  <c r="J12" i="1"/>
  <c r="I12" i="1"/>
  <c r="M11" i="1"/>
  <c r="K11" i="1"/>
  <c r="L11" i="1" s="1"/>
  <c r="J11" i="1"/>
  <c r="I11" i="1"/>
  <c r="M10" i="1"/>
  <c r="K10" i="1"/>
  <c r="L10" i="1" s="1"/>
  <c r="J10" i="1"/>
  <c r="I10" i="1"/>
  <c r="M9" i="1"/>
  <c r="K9" i="1"/>
  <c r="L9" i="1" s="1"/>
  <c r="J9" i="1"/>
  <c r="I9" i="1"/>
  <c r="M8" i="1"/>
  <c r="K8" i="1"/>
  <c r="L8" i="1" s="1"/>
  <c r="J8" i="1"/>
  <c r="I8" i="1"/>
  <c r="M7" i="1"/>
  <c r="K7" i="1"/>
  <c r="L7" i="1" s="1"/>
  <c r="J7" i="1"/>
  <c r="I7" i="1"/>
  <c r="M6" i="1"/>
  <c r="K6" i="1"/>
  <c r="L6" i="1" s="1"/>
  <c r="J6" i="1"/>
  <c r="I6" i="1"/>
  <c r="M5" i="1"/>
  <c r="K5" i="1"/>
  <c r="L5" i="1" s="1"/>
  <c r="J5" i="1"/>
  <c r="I5" i="1"/>
  <c r="M4" i="1"/>
  <c r="K4" i="1"/>
  <c r="L4" i="1" s="1"/>
  <c r="J4" i="1"/>
  <c r="I4" i="1"/>
  <c r="M3" i="1"/>
  <c r="K3" i="1"/>
  <c r="L3" i="1" s="1"/>
  <c r="J3" i="1"/>
  <c r="I3" i="1"/>
  <c r="M2" i="1"/>
  <c r="K2" i="1"/>
  <c r="L2" i="1" s="1"/>
  <c r="J2" i="1"/>
  <c r="I2" i="1"/>
</calcChain>
</file>

<file path=xl/sharedStrings.xml><?xml version="1.0" encoding="utf-8"?>
<sst xmlns="http://schemas.openxmlformats.org/spreadsheetml/2006/main" count="994" uniqueCount="378">
  <si>
    <t>연번</t>
  </si>
  <si>
    <t>사번</t>
  </si>
  <si>
    <t>성명</t>
  </si>
  <si>
    <t>부서코드</t>
  </si>
  <si>
    <t>프로그램코드</t>
  </si>
  <si>
    <t>신청일</t>
  </si>
  <si>
    <t>사전과제 제출</t>
  </si>
  <si>
    <t>작년 이수시간</t>
  </si>
  <si>
    <t>부서명</t>
  </si>
  <si>
    <t>프로그램명</t>
  </si>
  <si>
    <t>교육시간</t>
  </si>
  <si>
    <t>예상 지원금(원)</t>
  </si>
  <si>
    <t>우선선발</t>
  </si>
  <si>
    <t>ME-001</t>
  </si>
  <si>
    <t>사원001</t>
  </si>
  <si>
    <t>D05</t>
  </si>
  <si>
    <t>P01</t>
  </si>
  <si>
    <t>2026-08-21</t>
  </si>
  <si>
    <t>Y</t>
  </si>
  <si>
    <t>ME-002</t>
  </si>
  <si>
    <t>사원002</t>
  </si>
  <si>
    <t>D01</t>
  </si>
  <si>
    <t>P03</t>
  </si>
  <si>
    <t>2026-08-25</t>
  </si>
  <si>
    <t>ME-003</t>
  </si>
  <si>
    <t>사원003</t>
  </si>
  <si>
    <t>N</t>
  </si>
  <si>
    <t>ME-004</t>
  </si>
  <si>
    <t>사원004</t>
  </si>
  <si>
    <t>D03</t>
  </si>
  <si>
    <t>2026-08-23</t>
  </si>
  <si>
    <t>ME-005</t>
  </si>
  <si>
    <t>사원005</t>
  </si>
  <si>
    <t>D08</t>
  </si>
  <si>
    <t>P05</t>
  </si>
  <si>
    <t>ME-006</t>
  </si>
  <si>
    <t>사원006</t>
  </si>
  <si>
    <t>D04</t>
  </si>
  <si>
    <t>P04</t>
  </si>
  <si>
    <t>ME-007</t>
  </si>
  <si>
    <t>사원007</t>
  </si>
  <si>
    <t>P02</t>
  </si>
  <si>
    <t>2026-08-20</t>
  </si>
  <si>
    <t>ME-008</t>
  </si>
  <si>
    <t>사원008</t>
  </si>
  <si>
    <t>D09</t>
  </si>
  <si>
    <t>ME-009</t>
  </si>
  <si>
    <t>사원009</t>
  </si>
  <si>
    <t>2026-08-18</t>
  </si>
  <si>
    <t>ME-010</t>
  </si>
  <si>
    <t>사원010</t>
  </si>
  <si>
    <t>D07</t>
  </si>
  <si>
    <t>ME-011</t>
  </si>
  <si>
    <t>사원011</t>
  </si>
  <si>
    <t>2026-08-22</t>
  </si>
  <si>
    <t>ME-012</t>
  </si>
  <si>
    <t>사원012</t>
  </si>
  <si>
    <t>ME-013</t>
  </si>
  <si>
    <t>사원013</t>
  </si>
  <si>
    <t>2026-08-19</t>
  </si>
  <si>
    <t>ME-014</t>
  </si>
  <si>
    <t>사원014</t>
  </si>
  <si>
    <t>D02</t>
  </si>
  <si>
    <t>ME-015</t>
  </si>
  <si>
    <t>사원015</t>
  </si>
  <si>
    <t>ME-016</t>
  </si>
  <si>
    <t>사원016</t>
  </si>
  <si>
    <t>ME-017</t>
  </si>
  <si>
    <t>사원017</t>
  </si>
  <si>
    <t>ME-018</t>
  </si>
  <si>
    <t>사원018</t>
  </si>
  <si>
    <t>ME-019</t>
  </si>
  <si>
    <t>사원019</t>
  </si>
  <si>
    <t>ME-020</t>
  </si>
  <si>
    <t>사원020</t>
  </si>
  <si>
    <t>ME-021</t>
  </si>
  <si>
    <t>사원021</t>
  </si>
  <si>
    <t>ME-022</t>
  </si>
  <si>
    <t>사원022</t>
  </si>
  <si>
    <t>ME-023</t>
  </si>
  <si>
    <t>사원023</t>
  </si>
  <si>
    <t>P06</t>
  </si>
  <si>
    <t>ME-024</t>
  </si>
  <si>
    <t>사원024</t>
  </si>
  <si>
    <t>D06</t>
  </si>
  <si>
    <t>ME-025</t>
  </si>
  <si>
    <t>사원025</t>
  </si>
  <si>
    <t>D10</t>
  </si>
  <si>
    <t>ME-026</t>
  </si>
  <si>
    <t>사원026</t>
  </si>
  <si>
    <t>ME-027</t>
  </si>
  <si>
    <t>사원027</t>
  </si>
  <si>
    <t>ME-028</t>
  </si>
  <si>
    <t>사원028</t>
  </si>
  <si>
    <t>2026-08-24</t>
  </si>
  <si>
    <t>ME-029</t>
  </si>
  <si>
    <t>사원029</t>
  </si>
  <si>
    <t>ME-030</t>
  </si>
  <si>
    <t>사원030</t>
  </si>
  <si>
    <t>ME-031</t>
  </si>
  <si>
    <t>사원031</t>
  </si>
  <si>
    <t>ME-032</t>
  </si>
  <si>
    <t>사원032</t>
  </si>
  <si>
    <t>ME-033</t>
  </si>
  <si>
    <t>사원033</t>
  </si>
  <si>
    <t>ME-034</t>
  </si>
  <si>
    <t>사원034</t>
  </si>
  <si>
    <t>ME-035</t>
  </si>
  <si>
    <t>사원035</t>
  </si>
  <si>
    <t>ME-036</t>
  </si>
  <si>
    <t>사원036</t>
  </si>
  <si>
    <t>ME-037</t>
  </si>
  <si>
    <t>사원037</t>
  </si>
  <si>
    <t>ME-038</t>
  </si>
  <si>
    <t>사원038</t>
  </si>
  <si>
    <t>ME-039</t>
  </si>
  <si>
    <t>사원039</t>
  </si>
  <si>
    <t>ME-040</t>
  </si>
  <si>
    <t>사원040</t>
  </si>
  <si>
    <t>ME-041</t>
  </si>
  <si>
    <t>사원041</t>
  </si>
  <si>
    <t>ME-042</t>
  </si>
  <si>
    <t>사원042</t>
  </si>
  <si>
    <t>ME-043</t>
  </si>
  <si>
    <t>사원043</t>
  </si>
  <si>
    <t>ME-044</t>
  </si>
  <si>
    <t>사원044</t>
  </si>
  <si>
    <t>ME-045</t>
  </si>
  <si>
    <t>사원045</t>
  </si>
  <si>
    <t>ME-046</t>
  </si>
  <si>
    <t>사원046</t>
  </si>
  <si>
    <t>ME-047</t>
  </si>
  <si>
    <t>사원047</t>
  </si>
  <si>
    <t>ME-048</t>
  </si>
  <si>
    <t>사원048</t>
  </si>
  <si>
    <t>ME-049</t>
  </si>
  <si>
    <t>사원049</t>
  </si>
  <si>
    <t>ME-050</t>
  </si>
  <si>
    <t>사원050</t>
  </si>
  <si>
    <t>ME-051</t>
  </si>
  <si>
    <t>사원051</t>
  </si>
  <si>
    <t>ME-052</t>
  </si>
  <si>
    <t>사원052</t>
  </si>
  <si>
    <t>ME-053</t>
  </si>
  <si>
    <t>사원053</t>
  </si>
  <si>
    <t>ME-054</t>
  </si>
  <si>
    <t>사원054</t>
  </si>
  <si>
    <t>ME-055</t>
  </si>
  <si>
    <t>사원055</t>
  </si>
  <si>
    <t>ME-056</t>
  </si>
  <si>
    <t>사원056</t>
  </si>
  <si>
    <t>ME-057</t>
  </si>
  <si>
    <t>사원057</t>
  </si>
  <si>
    <t>ME-058</t>
  </si>
  <si>
    <t>사원058</t>
  </si>
  <si>
    <t>ME-059</t>
  </si>
  <si>
    <t>사원059</t>
  </si>
  <si>
    <t>ME-060</t>
  </si>
  <si>
    <t>사원060</t>
  </si>
  <si>
    <t>ME-061</t>
  </si>
  <si>
    <t>사원061</t>
  </si>
  <si>
    <t>ME-062</t>
  </si>
  <si>
    <t>사원062</t>
  </si>
  <si>
    <t>ME-063</t>
  </si>
  <si>
    <t>사원063</t>
  </si>
  <si>
    <t>ME-064</t>
  </si>
  <si>
    <t>사원064</t>
  </si>
  <si>
    <t>ME-065</t>
  </si>
  <si>
    <t>사원065</t>
  </si>
  <si>
    <t>ME-066</t>
  </si>
  <si>
    <t>사원066</t>
  </si>
  <si>
    <t>ME-067</t>
  </si>
  <si>
    <t>사원067</t>
  </si>
  <si>
    <t>ME-068</t>
  </si>
  <si>
    <t>사원068</t>
  </si>
  <si>
    <t>ME-069</t>
  </si>
  <si>
    <t>사원069</t>
  </si>
  <si>
    <t>ME-070</t>
  </si>
  <si>
    <t>사원070</t>
  </si>
  <si>
    <t>ME-071</t>
  </si>
  <si>
    <t>사원071</t>
  </si>
  <si>
    <t>ME-072</t>
  </si>
  <si>
    <t>사원072</t>
  </si>
  <si>
    <t>ME-073</t>
  </si>
  <si>
    <t>사원073</t>
  </si>
  <si>
    <t>ME-074</t>
  </si>
  <si>
    <t>사원074</t>
  </si>
  <si>
    <t>ME-075</t>
  </si>
  <si>
    <t>사원075</t>
  </si>
  <si>
    <t>ME-076</t>
  </si>
  <si>
    <t>사원076</t>
  </si>
  <si>
    <t>ME-077</t>
  </si>
  <si>
    <t>사원077</t>
  </si>
  <si>
    <t>ME-078</t>
  </si>
  <si>
    <t>사원078</t>
  </si>
  <si>
    <t>ME-079</t>
  </si>
  <si>
    <t>사원079</t>
  </si>
  <si>
    <t>ME-080</t>
  </si>
  <si>
    <t>사원080</t>
  </si>
  <si>
    <t>ME-081</t>
  </si>
  <si>
    <t>사원081</t>
  </si>
  <si>
    <t>ME-082</t>
  </si>
  <si>
    <t>사원082</t>
  </si>
  <si>
    <t>ME-083</t>
  </si>
  <si>
    <t>사원083</t>
  </si>
  <si>
    <t>ME-084</t>
  </si>
  <si>
    <t>사원084</t>
  </si>
  <si>
    <t>ME-085</t>
  </si>
  <si>
    <t>사원085</t>
  </si>
  <si>
    <t>ME-086</t>
  </si>
  <si>
    <t>사원086</t>
  </si>
  <si>
    <t>ME-087</t>
  </si>
  <si>
    <t>사원087</t>
  </si>
  <si>
    <t>ME-088</t>
  </si>
  <si>
    <t>사원088</t>
  </si>
  <si>
    <t>ME-089</t>
  </si>
  <si>
    <t>사원089</t>
  </si>
  <si>
    <t>ME-090</t>
  </si>
  <si>
    <t>사원090</t>
  </si>
  <si>
    <t>ME-091</t>
  </si>
  <si>
    <t>사원091</t>
  </si>
  <si>
    <t>ME-092</t>
  </si>
  <si>
    <t>사원092</t>
  </si>
  <si>
    <t>ME-093</t>
  </si>
  <si>
    <t>사원093</t>
  </si>
  <si>
    <t>ME-094</t>
  </si>
  <si>
    <t>사원094</t>
  </si>
  <si>
    <t>ME-095</t>
  </si>
  <si>
    <t>사원095</t>
  </si>
  <si>
    <t>ME-096</t>
  </si>
  <si>
    <t>사원096</t>
  </si>
  <si>
    <t>ME-097</t>
  </si>
  <si>
    <t>사원097</t>
  </si>
  <si>
    <t>ME-098</t>
  </si>
  <si>
    <t>사원098</t>
  </si>
  <si>
    <t>ME-099</t>
  </si>
  <si>
    <t>사원099</t>
  </si>
  <si>
    <t>ME-100</t>
  </si>
  <si>
    <t>사원100</t>
  </si>
  <si>
    <t>ME-101</t>
  </si>
  <si>
    <t>사원101</t>
  </si>
  <si>
    <t>ME-102</t>
  </si>
  <si>
    <t>사원102</t>
  </si>
  <si>
    <t>ME-103</t>
  </si>
  <si>
    <t>사원103</t>
  </si>
  <si>
    <t>ME-104</t>
  </si>
  <si>
    <t>사원104</t>
  </si>
  <si>
    <t>ME-105</t>
  </si>
  <si>
    <t>사원105</t>
  </si>
  <si>
    <t>ME-106</t>
  </si>
  <si>
    <t>사원106</t>
  </si>
  <si>
    <t>ME-107</t>
  </si>
  <si>
    <t>사원107</t>
  </si>
  <si>
    <t>ME-108</t>
  </si>
  <si>
    <t>사원108</t>
  </si>
  <si>
    <t>ME-109</t>
  </si>
  <si>
    <t>사원109</t>
  </si>
  <si>
    <t>ME-110</t>
  </si>
  <si>
    <t>사원110</t>
  </si>
  <si>
    <t>ME-111</t>
  </si>
  <si>
    <t>사원111</t>
  </si>
  <si>
    <t>ME-112</t>
  </si>
  <si>
    <t>사원112</t>
  </si>
  <si>
    <t>ME-113</t>
  </si>
  <si>
    <t>사원113</t>
  </si>
  <si>
    <t>ME-114</t>
  </si>
  <si>
    <t>사원114</t>
  </si>
  <si>
    <t>ME-115</t>
  </si>
  <si>
    <t>사원115</t>
  </si>
  <si>
    <t>ME-116</t>
  </si>
  <si>
    <t>사원116</t>
  </si>
  <si>
    <t>ME-117</t>
  </si>
  <si>
    <t>사원117</t>
  </si>
  <si>
    <t>ME-118</t>
  </si>
  <si>
    <t>사원118</t>
  </si>
  <si>
    <t>ME-119</t>
  </si>
  <si>
    <t>사원119</t>
  </si>
  <si>
    <t>ME-120</t>
  </si>
  <si>
    <t>사원120</t>
  </si>
  <si>
    <t>ME-121</t>
  </si>
  <si>
    <t>사원121</t>
  </si>
  <si>
    <t>ME-122</t>
  </si>
  <si>
    <t>사원122</t>
  </si>
  <si>
    <t>ME-123</t>
  </si>
  <si>
    <t>사원123</t>
  </si>
  <si>
    <t>ME-124</t>
  </si>
  <si>
    <t>사원124</t>
  </si>
  <si>
    <t>ME-125</t>
  </si>
  <si>
    <t>사원125</t>
  </si>
  <si>
    <t>ME-126</t>
  </si>
  <si>
    <t>사원126</t>
  </si>
  <si>
    <t>ME-127</t>
  </si>
  <si>
    <t>사원127</t>
  </si>
  <si>
    <t>ME-128</t>
  </si>
  <si>
    <t>사원128</t>
  </si>
  <si>
    <t>ME-129</t>
  </si>
  <si>
    <t>사원129</t>
  </si>
  <si>
    <t>ME-130</t>
  </si>
  <si>
    <t>사원130</t>
  </si>
  <si>
    <t>ME-131</t>
  </si>
  <si>
    <t>사원131</t>
  </si>
  <si>
    <t>ME-132</t>
  </si>
  <si>
    <t>사원132</t>
  </si>
  <si>
    <t>ME-133</t>
  </si>
  <si>
    <t>사원133</t>
  </si>
  <si>
    <t>ME-134</t>
  </si>
  <si>
    <t>사원134</t>
  </si>
  <si>
    <t>ME-135</t>
  </si>
  <si>
    <t>사원135</t>
  </si>
  <si>
    <t>ME-136</t>
  </si>
  <si>
    <t>사원136</t>
  </si>
  <si>
    <t>ME-137</t>
  </si>
  <si>
    <t>사원137</t>
  </si>
  <si>
    <t>ME-138</t>
  </si>
  <si>
    <t>사원138</t>
  </si>
  <si>
    <t>ME-139</t>
  </si>
  <si>
    <t>사원139</t>
  </si>
  <si>
    <t>ME-140</t>
  </si>
  <si>
    <t>사원140</t>
  </si>
  <si>
    <t>ME-141</t>
  </si>
  <si>
    <t>사원141</t>
  </si>
  <si>
    <t>ME-142</t>
  </si>
  <si>
    <t>사원142</t>
  </si>
  <si>
    <t>ME-143</t>
  </si>
  <si>
    <t>사원143</t>
  </si>
  <si>
    <t>ME-144</t>
  </si>
  <si>
    <t>사원144</t>
  </si>
  <si>
    <t>ME-145</t>
  </si>
  <si>
    <t>사원145</t>
  </si>
  <si>
    <t>ME-146</t>
  </si>
  <si>
    <t>사원146</t>
  </si>
  <si>
    <t>ME-147</t>
  </si>
  <si>
    <t>사원147</t>
  </si>
  <si>
    <t>ME-148</t>
  </si>
  <si>
    <t>사원148</t>
  </si>
  <si>
    <t>ME-149</t>
  </si>
  <si>
    <t>사원149</t>
  </si>
  <si>
    <t>ME-150</t>
  </si>
  <si>
    <t>사원150</t>
  </si>
  <si>
    <t>소속 구분</t>
  </si>
  <si>
    <t>편집·콘텐츠</t>
  </si>
  <si>
    <t>콘텐츠</t>
  </si>
  <si>
    <t>디자인</t>
  </si>
  <si>
    <t>디지털교육</t>
  </si>
  <si>
    <t>영업</t>
  </si>
  <si>
    <t>사업지원</t>
  </si>
  <si>
    <t>마케팅</t>
  </si>
  <si>
    <t>고객지원</t>
  </si>
  <si>
    <t>제작</t>
  </si>
  <si>
    <t>제작·운영</t>
  </si>
  <si>
    <t>물류</t>
  </si>
  <si>
    <t>인사</t>
  </si>
  <si>
    <t>경영지원</t>
  </si>
  <si>
    <t>재무</t>
  </si>
  <si>
    <t>시간당 지원단가(원)</t>
  </si>
  <si>
    <t>정원(명)</t>
  </si>
  <si>
    <t>AI 업무 기본</t>
  </si>
  <si>
    <t>AI 데이터 분석 기초</t>
  </si>
  <si>
    <t>AI 사내 보고서 작성</t>
  </si>
  <si>
    <t>AI 교육콘텐츠 검수</t>
  </si>
  <si>
    <t>AI 제작·운영 업무</t>
  </si>
  <si>
    <t>AI 고객응대 실무</t>
  </si>
  <si>
    <t>신청 인원</t>
  </si>
  <si>
    <t>정원 대비 신청률</t>
  </si>
  <si>
    <t>실습 안내</t>
  </si>
  <si>
    <t>미래엔 전사 AI 업무역량 교육 · 실습용 가상 자료</t>
  </si>
  <si>
    <t>자료 성격</t>
  </si>
  <si>
    <t>미래엔 임직원의 다양한 직무를 상정해 만든 가상 교육 운영 자료입니다.</t>
  </si>
  <si>
    <t>조직·제도</t>
  </si>
  <si>
    <t>실제 미래엔 조직, 인사정책, 교육제도 또는 성과를 나타내지 않습니다.</t>
  </si>
  <si>
    <t>개인정보</t>
  </si>
  <si>
    <t>신청자 이름·사번은 익명 식별자이며 실제 임직원 정보가 아닙니다.</t>
  </si>
  <si>
    <t>산정 규칙</t>
  </si>
  <si>
    <t>교육시간·단가·정원·지원금·우선선발 기준은 수식 연습을 위한 가상 조건입니다.</t>
  </si>
  <si>
    <t>실습 방법</t>
  </si>
  <si>
    <t>기존 시트의 셀 위치와 코드 기준으로 교안의 프롬프트를 사용합니다.</t>
  </si>
  <si>
    <t>표본 구분</t>
  </si>
  <si>
    <t>신청 150건과 만족도 응답 72건은 별도 표본입니다. 동일인을 연결하지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</si>
</sst>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1"/>
      <name val="Calibri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53C78"/>
      </patternFill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>
        <color rgb="FFC9D6E8"/>
      </left>
      <right style="thin">
        <color rgb="FFC9D6E8"/>
      </right>
      <top style="thin">
        <color rgb="FFC9D6E8"/>
      </top>
      <bottom style="thin">
        <color rgb="FFC9D6E8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Border="1"/>
    <xf numFmtId="3" fontId="2" fillId="0" borderId="1" xfId="1" applyNumberFormat="1" applyFont="1" applyBorder="1"/>
    <xf numFmtId="0" fontId="3" fillId="0" borderId="0" xfId="1" applyFont="1"/>
    <xf numFmtId="0" fontId="4" fillId="3" borderId="0" xfId="1" applyFont="1" applyFill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pane ySplit="1" topLeftCell="A2" activePane="bottomLeft" state="frozen"/>
      <selection pane="bottomLeft"/>
    </sheetView>
  </sheetViews>
  <sheetFormatPr defaultRowHeight="14.35" x14ac:dyDescent="0.5"/>
  <cols>
    <col min="1" max="1" width="6" customWidth="1"/>
    <col min="2" max="2" width="11" customWidth="1"/>
    <col min="3" max="3" width="9" customWidth="1"/>
    <col min="4" max="4" width="10" customWidth="1"/>
    <col min="5" max="5" width="13" customWidth="1"/>
    <col min="6" max="6" width="11" customWidth="1"/>
    <col min="7" max="8" width="12" customWidth="1"/>
    <col min="9" max="9" width="14" customWidth="1"/>
    <col min="10" max="10" width="20" customWidth="1"/>
    <col min="11" max="11" width="9" customWidth="1"/>
    <col min="12" max="12" width="14" customWidth="1"/>
    <col min="13" max="13" width="9" customWidth="1"/>
  </cols>
  <sheetData>
    <row r="1" spans="1:13" ht="15.3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35" x14ac:dyDescent="0.6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0</v>
      </c>
      <c r="I2" s="2" t="str">
        <f>VLOOKUP(D2,부서코드표!$A$2:$C$11,2,0)</f>
        <v>마케팅</v>
      </c>
      <c r="J2" s="2" t="str">
        <f>VLOOKUP(E2,프로그램표!$A$2:$E$7,2,0)</f>
        <v>AI 업무 기본</v>
      </c>
      <c r="K2" s="2">
        <f>VLOOKUP(E2,프로그램표!$A$2:$E$7,3,0)</f>
        <v>14</v>
      </c>
      <c r="L2" s="3">
        <f>K2*VLOOKUP(E2,프로그램표!$A$2:$E$7,4,0)*IF(G2="Y",1,0.5)</f>
        <v>210000</v>
      </c>
      <c r="M2" s="2" t="str">
        <f t="shared" ref="M2:M33" si="0">IF(AND(G2="Y",H2&lt;20),"우선","일반")</f>
        <v>우선</v>
      </c>
    </row>
    <row r="3" spans="1:13" ht="15.35" x14ac:dyDescent="0.6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18</v>
      </c>
      <c r="H3" s="2">
        <v>3</v>
      </c>
      <c r="I3" s="2" t="str">
        <f>VLOOKUP(D3,부서코드표!$A$2:$C$11,2,0)</f>
        <v>편집·콘텐츠</v>
      </c>
      <c r="J3" s="2" t="str">
        <f>VLOOKUP(E3,프로그램표!$A$2:$E$7,2,0)</f>
        <v>AI 사내 보고서 작성</v>
      </c>
      <c r="K3" s="2">
        <f>VLOOKUP(E3,프로그램표!$A$2:$E$7,3,0)</f>
        <v>7</v>
      </c>
      <c r="L3" s="3">
        <f>K3*VLOOKUP(E3,프로그램표!$A$2:$E$7,4,0)*IF(G3="Y",1,0.5)</f>
        <v>84000</v>
      </c>
      <c r="M3" s="2" t="str">
        <f t="shared" si="0"/>
        <v>우선</v>
      </c>
    </row>
    <row r="4" spans="1:13" ht="15.35" x14ac:dyDescent="0.6">
      <c r="A4" s="2">
        <v>3</v>
      </c>
      <c r="B4" s="2" t="s">
        <v>24</v>
      </c>
      <c r="C4" s="2" t="s">
        <v>25</v>
      </c>
      <c r="D4" s="2" t="s">
        <v>21</v>
      </c>
      <c r="E4" s="2" t="s">
        <v>22</v>
      </c>
      <c r="F4" s="2" t="s">
        <v>17</v>
      </c>
      <c r="G4" s="2" t="s">
        <v>26</v>
      </c>
      <c r="H4" s="2">
        <v>21</v>
      </c>
      <c r="I4" s="2" t="str">
        <f>VLOOKUP(D4,부서코드표!$A$2:$C$11,2,0)</f>
        <v>편집·콘텐츠</v>
      </c>
      <c r="J4" s="2" t="str">
        <f>VLOOKUP(E4,프로그램표!$A$2:$E$7,2,0)</f>
        <v>AI 사내 보고서 작성</v>
      </c>
      <c r="K4" s="2">
        <f>VLOOKUP(E4,프로그램표!$A$2:$E$7,3,0)</f>
        <v>7</v>
      </c>
      <c r="L4" s="3">
        <f>K4*VLOOKUP(E4,프로그램표!$A$2:$E$7,4,0)*IF(G4="Y",1,0.5)</f>
        <v>42000</v>
      </c>
      <c r="M4" s="2" t="str">
        <f t="shared" si="0"/>
        <v>일반</v>
      </c>
    </row>
    <row r="5" spans="1:13" ht="15.35" x14ac:dyDescent="0.6">
      <c r="A5" s="2">
        <v>4</v>
      </c>
      <c r="B5" s="2" t="s">
        <v>27</v>
      </c>
      <c r="C5" s="2" t="s">
        <v>28</v>
      </c>
      <c r="D5" s="2" t="s">
        <v>29</v>
      </c>
      <c r="E5" s="2" t="s">
        <v>16</v>
      </c>
      <c r="F5" s="2" t="s">
        <v>30</v>
      </c>
      <c r="G5" s="2" t="s">
        <v>26</v>
      </c>
      <c r="H5" s="2">
        <v>36</v>
      </c>
      <c r="I5" s="2" t="str">
        <f>VLOOKUP(D5,부서코드표!$A$2:$C$11,2,0)</f>
        <v>디지털교육</v>
      </c>
      <c r="J5" s="2" t="str">
        <f>VLOOKUP(E5,프로그램표!$A$2:$E$7,2,0)</f>
        <v>AI 업무 기본</v>
      </c>
      <c r="K5" s="2">
        <f>VLOOKUP(E5,프로그램표!$A$2:$E$7,3,0)</f>
        <v>14</v>
      </c>
      <c r="L5" s="3">
        <f>K5*VLOOKUP(E5,프로그램표!$A$2:$E$7,4,0)*IF(G5="Y",1,0.5)</f>
        <v>105000</v>
      </c>
      <c r="M5" s="2" t="str">
        <f t="shared" si="0"/>
        <v>일반</v>
      </c>
    </row>
    <row r="6" spans="1:13" ht="15.35" x14ac:dyDescent="0.6">
      <c r="A6" s="2">
        <v>5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30</v>
      </c>
      <c r="G6" s="2" t="s">
        <v>18</v>
      </c>
      <c r="H6" s="2">
        <v>37</v>
      </c>
      <c r="I6" s="2" t="str">
        <f>VLOOKUP(D6,부서코드표!$A$2:$C$11,2,0)</f>
        <v>물류</v>
      </c>
      <c r="J6" s="2" t="str">
        <f>VLOOKUP(E6,프로그램표!$A$2:$E$7,2,0)</f>
        <v>AI 제작·운영 업무</v>
      </c>
      <c r="K6" s="2">
        <f>VLOOKUP(E6,프로그램표!$A$2:$E$7,3,0)</f>
        <v>12</v>
      </c>
      <c r="L6" s="3">
        <f>K6*VLOOKUP(E6,프로그램표!$A$2:$E$7,4,0)*IF(G6="Y",1,0.5)</f>
        <v>180000</v>
      </c>
      <c r="M6" s="2" t="str">
        <f t="shared" si="0"/>
        <v>일반</v>
      </c>
    </row>
    <row r="7" spans="1:13" ht="15.35" x14ac:dyDescent="0.6">
      <c r="A7" s="2">
        <v>6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23</v>
      </c>
      <c r="G7" s="2" t="s">
        <v>18</v>
      </c>
      <c r="H7" s="2">
        <v>40</v>
      </c>
      <c r="I7" s="2" t="str">
        <f>VLOOKUP(D7,부서코드표!$A$2:$C$11,2,0)</f>
        <v>영업</v>
      </c>
      <c r="J7" s="2" t="str">
        <f>VLOOKUP(E7,프로그램표!$A$2:$E$7,2,0)</f>
        <v>AI 교육콘텐츠 검수</v>
      </c>
      <c r="K7" s="2">
        <f>VLOOKUP(E7,프로그램표!$A$2:$E$7,3,0)</f>
        <v>4</v>
      </c>
      <c r="L7" s="3">
        <f>K7*VLOOKUP(E7,프로그램표!$A$2:$E$7,4,0)*IF(G7="Y",1,0.5)</f>
        <v>40000</v>
      </c>
      <c r="M7" s="2" t="str">
        <f t="shared" si="0"/>
        <v>일반</v>
      </c>
    </row>
    <row r="8" spans="1:13" ht="15.35" x14ac:dyDescent="0.6">
      <c r="A8" s="2">
        <v>7</v>
      </c>
      <c r="B8" s="2" t="s">
        <v>39</v>
      </c>
      <c r="C8" s="2" t="s">
        <v>40</v>
      </c>
      <c r="D8" s="2" t="s">
        <v>33</v>
      </c>
      <c r="E8" s="2" t="s">
        <v>41</v>
      </c>
      <c r="F8" s="2" t="s">
        <v>42</v>
      </c>
      <c r="G8" s="2" t="s">
        <v>18</v>
      </c>
      <c r="H8" s="2">
        <v>13</v>
      </c>
      <c r="I8" s="2" t="str">
        <f>VLOOKUP(D8,부서코드표!$A$2:$C$11,2,0)</f>
        <v>물류</v>
      </c>
      <c r="J8" s="2" t="str">
        <f>VLOOKUP(E8,프로그램표!$A$2:$E$7,2,0)</f>
        <v>AI 데이터 분석 기초</v>
      </c>
      <c r="K8" s="2">
        <f>VLOOKUP(E8,프로그램표!$A$2:$E$7,3,0)</f>
        <v>10</v>
      </c>
      <c r="L8" s="3">
        <f>K8*VLOOKUP(E8,프로그램표!$A$2:$E$7,4,0)*IF(G8="Y",1,0.5)</f>
        <v>150000</v>
      </c>
      <c r="M8" s="2" t="str">
        <f t="shared" si="0"/>
        <v>우선</v>
      </c>
    </row>
    <row r="9" spans="1:13" ht="15.35" x14ac:dyDescent="0.6">
      <c r="A9" s="2">
        <v>8</v>
      </c>
      <c r="B9" s="2" t="s">
        <v>43</v>
      </c>
      <c r="C9" s="2" t="s">
        <v>44</v>
      </c>
      <c r="D9" s="2" t="s">
        <v>45</v>
      </c>
      <c r="E9" s="2" t="s">
        <v>16</v>
      </c>
      <c r="F9" s="2" t="s">
        <v>42</v>
      </c>
      <c r="G9" s="2" t="s">
        <v>26</v>
      </c>
      <c r="H9" s="2">
        <v>12</v>
      </c>
      <c r="I9" s="2" t="str">
        <f>VLOOKUP(D9,부서코드표!$A$2:$C$11,2,0)</f>
        <v>인사</v>
      </c>
      <c r="J9" s="2" t="str">
        <f>VLOOKUP(E9,프로그램표!$A$2:$E$7,2,0)</f>
        <v>AI 업무 기본</v>
      </c>
      <c r="K9" s="2">
        <f>VLOOKUP(E9,프로그램표!$A$2:$E$7,3,0)</f>
        <v>14</v>
      </c>
      <c r="L9" s="3">
        <f>K9*VLOOKUP(E9,프로그램표!$A$2:$E$7,4,0)*IF(G9="Y",1,0.5)</f>
        <v>105000</v>
      </c>
      <c r="M9" s="2" t="str">
        <f t="shared" si="0"/>
        <v>일반</v>
      </c>
    </row>
    <row r="10" spans="1:13" ht="15.35" x14ac:dyDescent="0.6">
      <c r="A10" s="2">
        <v>9</v>
      </c>
      <c r="B10" s="2" t="s">
        <v>46</v>
      </c>
      <c r="C10" s="2" t="s">
        <v>47</v>
      </c>
      <c r="D10" s="2" t="s">
        <v>33</v>
      </c>
      <c r="E10" s="2" t="s">
        <v>38</v>
      </c>
      <c r="F10" s="2" t="s">
        <v>48</v>
      </c>
      <c r="G10" s="2" t="s">
        <v>18</v>
      </c>
      <c r="H10" s="2">
        <v>0</v>
      </c>
      <c r="I10" s="2" t="str">
        <f>VLOOKUP(D10,부서코드표!$A$2:$C$11,2,0)</f>
        <v>물류</v>
      </c>
      <c r="J10" s="2" t="str">
        <f>VLOOKUP(E10,프로그램표!$A$2:$E$7,2,0)</f>
        <v>AI 교육콘텐츠 검수</v>
      </c>
      <c r="K10" s="2">
        <f>VLOOKUP(E10,프로그램표!$A$2:$E$7,3,0)</f>
        <v>4</v>
      </c>
      <c r="L10" s="3">
        <f>K10*VLOOKUP(E10,프로그램표!$A$2:$E$7,4,0)*IF(G10="Y",1,0.5)</f>
        <v>40000</v>
      </c>
      <c r="M10" s="2" t="str">
        <f t="shared" si="0"/>
        <v>우선</v>
      </c>
    </row>
    <row r="11" spans="1:13" ht="15.35" x14ac:dyDescent="0.6">
      <c r="A11" s="2">
        <v>10</v>
      </c>
      <c r="B11" s="2" t="s">
        <v>49</v>
      </c>
      <c r="C11" s="2" t="s">
        <v>50</v>
      </c>
      <c r="D11" s="2" t="s">
        <v>51</v>
      </c>
      <c r="E11" s="2" t="s">
        <v>22</v>
      </c>
      <c r="F11" s="2" t="s">
        <v>48</v>
      </c>
      <c r="G11" s="2" t="s">
        <v>26</v>
      </c>
      <c r="H11" s="2">
        <v>30</v>
      </c>
      <c r="I11" s="2" t="str">
        <f>VLOOKUP(D11,부서코드표!$A$2:$C$11,2,0)</f>
        <v>제작</v>
      </c>
      <c r="J11" s="2" t="str">
        <f>VLOOKUP(E11,프로그램표!$A$2:$E$7,2,0)</f>
        <v>AI 사내 보고서 작성</v>
      </c>
      <c r="K11" s="2">
        <f>VLOOKUP(E11,프로그램표!$A$2:$E$7,3,0)</f>
        <v>7</v>
      </c>
      <c r="L11" s="3">
        <f>K11*VLOOKUP(E11,프로그램표!$A$2:$E$7,4,0)*IF(G11="Y",1,0.5)</f>
        <v>42000</v>
      </c>
      <c r="M11" s="2" t="str">
        <f t="shared" si="0"/>
        <v>일반</v>
      </c>
    </row>
    <row r="12" spans="1:13" ht="15.35" x14ac:dyDescent="0.6">
      <c r="A12" s="2">
        <v>11</v>
      </c>
      <c r="B12" s="2" t="s">
        <v>52</v>
      </c>
      <c r="C12" s="2" t="s">
        <v>53</v>
      </c>
      <c r="D12" s="2" t="s">
        <v>29</v>
      </c>
      <c r="E12" s="2" t="s">
        <v>38</v>
      </c>
      <c r="F12" s="2" t="s">
        <v>54</v>
      </c>
      <c r="G12" s="2" t="s">
        <v>18</v>
      </c>
      <c r="H12" s="2">
        <v>6</v>
      </c>
      <c r="I12" s="2" t="str">
        <f>VLOOKUP(D12,부서코드표!$A$2:$C$11,2,0)</f>
        <v>디지털교육</v>
      </c>
      <c r="J12" s="2" t="str">
        <f>VLOOKUP(E12,프로그램표!$A$2:$E$7,2,0)</f>
        <v>AI 교육콘텐츠 검수</v>
      </c>
      <c r="K12" s="2">
        <f>VLOOKUP(E12,프로그램표!$A$2:$E$7,3,0)</f>
        <v>4</v>
      </c>
      <c r="L12" s="3">
        <f>K12*VLOOKUP(E12,프로그램표!$A$2:$E$7,4,0)*IF(G12="Y",1,0.5)</f>
        <v>40000</v>
      </c>
      <c r="M12" s="2" t="str">
        <f t="shared" si="0"/>
        <v>우선</v>
      </c>
    </row>
    <row r="13" spans="1:13" ht="15.35" x14ac:dyDescent="0.6">
      <c r="A13" s="2">
        <v>12</v>
      </c>
      <c r="B13" s="2" t="s">
        <v>55</v>
      </c>
      <c r="C13" s="2" t="s">
        <v>56</v>
      </c>
      <c r="D13" s="2" t="s">
        <v>37</v>
      </c>
      <c r="E13" s="2" t="s">
        <v>38</v>
      </c>
      <c r="F13" s="2" t="s">
        <v>48</v>
      </c>
      <c r="G13" s="2" t="s">
        <v>18</v>
      </c>
      <c r="H13" s="2">
        <v>32</v>
      </c>
      <c r="I13" s="2" t="str">
        <f>VLOOKUP(D13,부서코드표!$A$2:$C$11,2,0)</f>
        <v>영업</v>
      </c>
      <c r="J13" s="2" t="str">
        <f>VLOOKUP(E13,프로그램표!$A$2:$E$7,2,0)</f>
        <v>AI 교육콘텐츠 검수</v>
      </c>
      <c r="K13" s="2">
        <f>VLOOKUP(E13,프로그램표!$A$2:$E$7,3,0)</f>
        <v>4</v>
      </c>
      <c r="L13" s="3">
        <f>K13*VLOOKUP(E13,프로그램표!$A$2:$E$7,4,0)*IF(G13="Y",1,0.5)</f>
        <v>40000</v>
      </c>
      <c r="M13" s="2" t="str">
        <f t="shared" si="0"/>
        <v>일반</v>
      </c>
    </row>
    <row r="14" spans="1:13" ht="15.35" x14ac:dyDescent="0.6">
      <c r="A14" s="2">
        <v>13</v>
      </c>
      <c r="B14" s="2" t="s">
        <v>57</v>
      </c>
      <c r="C14" s="2" t="s">
        <v>58</v>
      </c>
      <c r="D14" s="2" t="s">
        <v>45</v>
      </c>
      <c r="E14" s="2" t="s">
        <v>38</v>
      </c>
      <c r="F14" s="2" t="s">
        <v>59</v>
      </c>
      <c r="G14" s="2" t="s">
        <v>26</v>
      </c>
      <c r="H14" s="2">
        <v>31</v>
      </c>
      <c r="I14" s="2" t="str">
        <f>VLOOKUP(D14,부서코드표!$A$2:$C$11,2,0)</f>
        <v>인사</v>
      </c>
      <c r="J14" s="2" t="str">
        <f>VLOOKUP(E14,프로그램표!$A$2:$E$7,2,0)</f>
        <v>AI 교육콘텐츠 검수</v>
      </c>
      <c r="K14" s="2">
        <f>VLOOKUP(E14,프로그램표!$A$2:$E$7,3,0)</f>
        <v>4</v>
      </c>
      <c r="L14" s="3">
        <f>K14*VLOOKUP(E14,프로그램표!$A$2:$E$7,4,0)*IF(G14="Y",1,0.5)</f>
        <v>20000</v>
      </c>
      <c r="M14" s="2" t="str">
        <f t="shared" si="0"/>
        <v>일반</v>
      </c>
    </row>
    <row r="15" spans="1:13" ht="15.35" x14ac:dyDescent="0.6">
      <c r="A15" s="2">
        <v>14</v>
      </c>
      <c r="B15" s="2" t="s">
        <v>60</v>
      </c>
      <c r="C15" s="2" t="s">
        <v>61</v>
      </c>
      <c r="D15" s="2" t="s">
        <v>62</v>
      </c>
      <c r="E15" s="2" t="s">
        <v>41</v>
      </c>
      <c r="F15" s="2" t="s">
        <v>23</v>
      </c>
      <c r="G15" s="2" t="s">
        <v>26</v>
      </c>
      <c r="H15" s="2">
        <v>33</v>
      </c>
      <c r="I15" s="2" t="str">
        <f>VLOOKUP(D15,부서코드표!$A$2:$C$11,2,0)</f>
        <v>디자인</v>
      </c>
      <c r="J15" s="2" t="str">
        <f>VLOOKUP(E15,프로그램표!$A$2:$E$7,2,0)</f>
        <v>AI 데이터 분석 기초</v>
      </c>
      <c r="K15" s="2">
        <f>VLOOKUP(E15,프로그램표!$A$2:$E$7,3,0)</f>
        <v>10</v>
      </c>
      <c r="L15" s="3">
        <f>K15*VLOOKUP(E15,프로그램표!$A$2:$E$7,4,0)*IF(G15="Y",1,0.5)</f>
        <v>75000</v>
      </c>
      <c r="M15" s="2" t="str">
        <f t="shared" si="0"/>
        <v>일반</v>
      </c>
    </row>
    <row r="16" spans="1:13" ht="15.35" x14ac:dyDescent="0.6">
      <c r="A16" s="2">
        <v>15</v>
      </c>
      <c r="B16" s="2" t="s">
        <v>63</v>
      </c>
      <c r="C16" s="2" t="s">
        <v>64</v>
      </c>
      <c r="D16" s="2" t="s">
        <v>51</v>
      </c>
      <c r="E16" s="2" t="s">
        <v>16</v>
      </c>
      <c r="F16" s="2" t="s">
        <v>30</v>
      </c>
      <c r="G16" s="2" t="s">
        <v>18</v>
      </c>
      <c r="H16" s="2">
        <v>12</v>
      </c>
      <c r="I16" s="2" t="str">
        <f>VLOOKUP(D16,부서코드표!$A$2:$C$11,2,0)</f>
        <v>제작</v>
      </c>
      <c r="J16" s="2" t="str">
        <f>VLOOKUP(E16,프로그램표!$A$2:$E$7,2,0)</f>
        <v>AI 업무 기본</v>
      </c>
      <c r="K16" s="2">
        <f>VLOOKUP(E16,프로그램표!$A$2:$E$7,3,0)</f>
        <v>14</v>
      </c>
      <c r="L16" s="3">
        <f>K16*VLOOKUP(E16,프로그램표!$A$2:$E$7,4,0)*IF(G16="Y",1,0.5)</f>
        <v>210000</v>
      </c>
      <c r="M16" s="2" t="str">
        <f t="shared" si="0"/>
        <v>우선</v>
      </c>
    </row>
    <row r="17" spans="1:13" ht="15.35" x14ac:dyDescent="0.6">
      <c r="A17" s="2">
        <v>16</v>
      </c>
      <c r="B17" s="2" t="s">
        <v>65</v>
      </c>
      <c r="C17" s="2" t="s">
        <v>66</v>
      </c>
      <c r="D17" s="2" t="s">
        <v>37</v>
      </c>
      <c r="E17" s="2" t="s">
        <v>16</v>
      </c>
      <c r="F17" s="2" t="s">
        <v>42</v>
      </c>
      <c r="G17" s="2" t="s">
        <v>18</v>
      </c>
      <c r="H17" s="2">
        <v>25</v>
      </c>
      <c r="I17" s="2" t="str">
        <f>VLOOKUP(D17,부서코드표!$A$2:$C$11,2,0)</f>
        <v>영업</v>
      </c>
      <c r="J17" s="2" t="str">
        <f>VLOOKUP(E17,프로그램표!$A$2:$E$7,2,0)</f>
        <v>AI 업무 기본</v>
      </c>
      <c r="K17" s="2">
        <f>VLOOKUP(E17,프로그램표!$A$2:$E$7,3,0)</f>
        <v>14</v>
      </c>
      <c r="L17" s="3">
        <f>K17*VLOOKUP(E17,프로그램표!$A$2:$E$7,4,0)*IF(G17="Y",1,0.5)</f>
        <v>210000</v>
      </c>
      <c r="M17" s="2" t="str">
        <f t="shared" si="0"/>
        <v>일반</v>
      </c>
    </row>
    <row r="18" spans="1:13" ht="15.35" x14ac:dyDescent="0.6">
      <c r="A18" s="2">
        <v>17</v>
      </c>
      <c r="B18" s="2" t="s">
        <v>67</v>
      </c>
      <c r="C18" s="2" t="s">
        <v>68</v>
      </c>
      <c r="D18" s="2" t="s">
        <v>62</v>
      </c>
      <c r="E18" s="2" t="s">
        <v>41</v>
      </c>
      <c r="F18" s="2" t="s">
        <v>48</v>
      </c>
      <c r="G18" s="2" t="s">
        <v>26</v>
      </c>
      <c r="H18" s="2">
        <v>13</v>
      </c>
      <c r="I18" s="2" t="str">
        <f>VLOOKUP(D18,부서코드표!$A$2:$C$11,2,0)</f>
        <v>디자인</v>
      </c>
      <c r="J18" s="2" t="str">
        <f>VLOOKUP(E18,프로그램표!$A$2:$E$7,2,0)</f>
        <v>AI 데이터 분석 기초</v>
      </c>
      <c r="K18" s="2">
        <f>VLOOKUP(E18,프로그램표!$A$2:$E$7,3,0)</f>
        <v>10</v>
      </c>
      <c r="L18" s="3">
        <f>K18*VLOOKUP(E18,프로그램표!$A$2:$E$7,4,0)*IF(G18="Y",1,0.5)</f>
        <v>75000</v>
      </c>
      <c r="M18" s="2" t="str">
        <f t="shared" si="0"/>
        <v>일반</v>
      </c>
    </row>
    <row r="19" spans="1:13" ht="15.35" x14ac:dyDescent="0.6">
      <c r="A19" s="2">
        <v>18</v>
      </c>
      <c r="B19" s="2" t="s">
        <v>69</v>
      </c>
      <c r="C19" s="2" t="s">
        <v>70</v>
      </c>
      <c r="D19" s="2" t="s">
        <v>29</v>
      </c>
      <c r="E19" s="2" t="s">
        <v>34</v>
      </c>
      <c r="F19" s="2" t="s">
        <v>59</v>
      </c>
      <c r="G19" s="2" t="s">
        <v>18</v>
      </c>
      <c r="H19" s="2">
        <v>17</v>
      </c>
      <c r="I19" s="2" t="str">
        <f>VLOOKUP(D19,부서코드표!$A$2:$C$11,2,0)</f>
        <v>디지털교육</v>
      </c>
      <c r="J19" s="2" t="str">
        <f>VLOOKUP(E19,프로그램표!$A$2:$E$7,2,0)</f>
        <v>AI 제작·운영 업무</v>
      </c>
      <c r="K19" s="2">
        <f>VLOOKUP(E19,프로그램표!$A$2:$E$7,3,0)</f>
        <v>12</v>
      </c>
      <c r="L19" s="3">
        <f>K19*VLOOKUP(E19,프로그램표!$A$2:$E$7,4,0)*IF(G19="Y",1,0.5)</f>
        <v>180000</v>
      </c>
      <c r="M19" s="2" t="str">
        <f t="shared" si="0"/>
        <v>우선</v>
      </c>
    </row>
    <row r="20" spans="1:13" ht="15.35" x14ac:dyDescent="0.6">
      <c r="A20" s="2">
        <v>19</v>
      </c>
      <c r="B20" s="2" t="s">
        <v>71</v>
      </c>
      <c r="C20" s="2" t="s">
        <v>72</v>
      </c>
      <c r="D20" s="2" t="s">
        <v>62</v>
      </c>
      <c r="E20" s="2" t="s">
        <v>16</v>
      </c>
      <c r="F20" s="2" t="s">
        <v>42</v>
      </c>
      <c r="G20" s="2" t="s">
        <v>18</v>
      </c>
      <c r="H20" s="2">
        <v>34</v>
      </c>
      <c r="I20" s="2" t="str">
        <f>VLOOKUP(D20,부서코드표!$A$2:$C$11,2,0)</f>
        <v>디자인</v>
      </c>
      <c r="J20" s="2" t="str">
        <f>VLOOKUP(E20,프로그램표!$A$2:$E$7,2,0)</f>
        <v>AI 업무 기본</v>
      </c>
      <c r="K20" s="2">
        <f>VLOOKUP(E20,프로그램표!$A$2:$E$7,3,0)</f>
        <v>14</v>
      </c>
      <c r="L20" s="3">
        <f>K20*VLOOKUP(E20,프로그램표!$A$2:$E$7,4,0)*IF(G20="Y",1,0.5)</f>
        <v>210000</v>
      </c>
      <c r="M20" s="2" t="str">
        <f t="shared" si="0"/>
        <v>일반</v>
      </c>
    </row>
    <row r="21" spans="1:13" ht="15.35" x14ac:dyDescent="0.6">
      <c r="A21" s="2">
        <v>20</v>
      </c>
      <c r="B21" s="2" t="s">
        <v>73</v>
      </c>
      <c r="C21" s="2" t="s">
        <v>74</v>
      </c>
      <c r="D21" s="2" t="s">
        <v>62</v>
      </c>
      <c r="E21" s="2" t="s">
        <v>41</v>
      </c>
      <c r="F21" s="2" t="s">
        <v>59</v>
      </c>
      <c r="G21" s="2" t="s">
        <v>18</v>
      </c>
      <c r="H21" s="2">
        <v>35</v>
      </c>
      <c r="I21" s="2" t="str">
        <f>VLOOKUP(D21,부서코드표!$A$2:$C$11,2,0)</f>
        <v>디자인</v>
      </c>
      <c r="J21" s="2" t="str">
        <f>VLOOKUP(E21,프로그램표!$A$2:$E$7,2,0)</f>
        <v>AI 데이터 분석 기초</v>
      </c>
      <c r="K21" s="2">
        <f>VLOOKUP(E21,프로그램표!$A$2:$E$7,3,0)</f>
        <v>10</v>
      </c>
      <c r="L21" s="3">
        <f>K21*VLOOKUP(E21,프로그램표!$A$2:$E$7,4,0)*IF(G21="Y",1,0.5)</f>
        <v>150000</v>
      </c>
      <c r="M21" s="2" t="str">
        <f t="shared" si="0"/>
        <v>일반</v>
      </c>
    </row>
    <row r="22" spans="1:13" ht="15.35" x14ac:dyDescent="0.6">
      <c r="A22" s="2">
        <v>21</v>
      </c>
      <c r="B22" s="2" t="s">
        <v>75</v>
      </c>
      <c r="C22" s="2" t="s">
        <v>76</v>
      </c>
      <c r="D22" s="2" t="s">
        <v>15</v>
      </c>
      <c r="E22" s="2" t="s">
        <v>16</v>
      </c>
      <c r="F22" s="2" t="s">
        <v>42</v>
      </c>
      <c r="G22" s="2" t="s">
        <v>26</v>
      </c>
      <c r="H22" s="2">
        <v>14</v>
      </c>
      <c r="I22" s="2" t="str">
        <f>VLOOKUP(D22,부서코드표!$A$2:$C$11,2,0)</f>
        <v>마케팅</v>
      </c>
      <c r="J22" s="2" t="str">
        <f>VLOOKUP(E22,프로그램표!$A$2:$E$7,2,0)</f>
        <v>AI 업무 기본</v>
      </c>
      <c r="K22" s="2">
        <f>VLOOKUP(E22,프로그램표!$A$2:$E$7,3,0)</f>
        <v>14</v>
      </c>
      <c r="L22" s="3">
        <f>K22*VLOOKUP(E22,프로그램표!$A$2:$E$7,4,0)*IF(G22="Y",1,0.5)</f>
        <v>105000</v>
      </c>
      <c r="M22" s="2" t="str">
        <f t="shared" si="0"/>
        <v>일반</v>
      </c>
    </row>
    <row r="23" spans="1:13" ht="15.35" x14ac:dyDescent="0.6">
      <c r="A23" s="2">
        <v>22</v>
      </c>
      <c r="B23" s="2" t="s">
        <v>77</v>
      </c>
      <c r="C23" s="2" t="s">
        <v>78</v>
      </c>
      <c r="D23" s="2" t="s">
        <v>33</v>
      </c>
      <c r="E23" s="2" t="s">
        <v>16</v>
      </c>
      <c r="F23" s="2" t="s">
        <v>59</v>
      </c>
      <c r="G23" s="2" t="s">
        <v>18</v>
      </c>
      <c r="H23" s="2">
        <v>36</v>
      </c>
      <c r="I23" s="2" t="str">
        <f>VLOOKUP(D23,부서코드표!$A$2:$C$11,2,0)</f>
        <v>물류</v>
      </c>
      <c r="J23" s="2" t="str">
        <f>VLOOKUP(E23,프로그램표!$A$2:$E$7,2,0)</f>
        <v>AI 업무 기본</v>
      </c>
      <c r="K23" s="2">
        <f>VLOOKUP(E23,프로그램표!$A$2:$E$7,3,0)</f>
        <v>14</v>
      </c>
      <c r="L23" s="3">
        <f>K23*VLOOKUP(E23,프로그램표!$A$2:$E$7,4,0)*IF(G23="Y",1,0.5)</f>
        <v>210000</v>
      </c>
      <c r="M23" s="2" t="str">
        <f t="shared" si="0"/>
        <v>일반</v>
      </c>
    </row>
    <row r="24" spans="1:13" ht="15.35" x14ac:dyDescent="0.6">
      <c r="A24" s="2">
        <v>23</v>
      </c>
      <c r="B24" s="2" t="s">
        <v>79</v>
      </c>
      <c r="C24" s="2" t="s">
        <v>80</v>
      </c>
      <c r="D24" s="2" t="s">
        <v>29</v>
      </c>
      <c r="E24" s="2" t="s">
        <v>81</v>
      </c>
      <c r="F24" s="2" t="s">
        <v>23</v>
      </c>
      <c r="G24" s="2" t="s">
        <v>18</v>
      </c>
      <c r="H24" s="2">
        <v>0</v>
      </c>
      <c r="I24" s="2" t="str">
        <f>VLOOKUP(D24,부서코드표!$A$2:$C$11,2,0)</f>
        <v>디지털교육</v>
      </c>
      <c r="J24" s="2" t="str">
        <f>VLOOKUP(E24,프로그램표!$A$2:$E$7,2,0)</f>
        <v>AI 고객응대 실무</v>
      </c>
      <c r="K24" s="2">
        <f>VLOOKUP(E24,프로그램표!$A$2:$E$7,3,0)</f>
        <v>6</v>
      </c>
      <c r="L24" s="3">
        <f>K24*VLOOKUP(E24,프로그램표!$A$2:$E$7,4,0)*IF(G24="Y",1,0.5)</f>
        <v>72000</v>
      </c>
      <c r="M24" s="2" t="str">
        <f t="shared" si="0"/>
        <v>우선</v>
      </c>
    </row>
    <row r="25" spans="1:13" ht="15.35" x14ac:dyDescent="0.6">
      <c r="A25" s="2">
        <v>24</v>
      </c>
      <c r="B25" s="2" t="s">
        <v>82</v>
      </c>
      <c r="C25" s="2" t="s">
        <v>83</v>
      </c>
      <c r="D25" s="2" t="s">
        <v>84</v>
      </c>
      <c r="E25" s="2" t="s">
        <v>41</v>
      </c>
      <c r="F25" s="2" t="s">
        <v>59</v>
      </c>
      <c r="G25" s="2" t="s">
        <v>18</v>
      </c>
      <c r="H25" s="2">
        <v>9</v>
      </c>
      <c r="I25" s="2" t="str">
        <f>VLOOKUP(D25,부서코드표!$A$2:$C$11,2,0)</f>
        <v>고객지원</v>
      </c>
      <c r="J25" s="2" t="str">
        <f>VLOOKUP(E25,프로그램표!$A$2:$E$7,2,0)</f>
        <v>AI 데이터 분석 기초</v>
      </c>
      <c r="K25" s="2">
        <f>VLOOKUP(E25,프로그램표!$A$2:$E$7,3,0)</f>
        <v>10</v>
      </c>
      <c r="L25" s="3">
        <f>K25*VLOOKUP(E25,프로그램표!$A$2:$E$7,4,0)*IF(G25="Y",1,0.5)</f>
        <v>150000</v>
      </c>
      <c r="M25" s="2" t="str">
        <f t="shared" si="0"/>
        <v>우선</v>
      </c>
    </row>
    <row r="26" spans="1:13" ht="15.35" x14ac:dyDescent="0.6">
      <c r="A26" s="2">
        <v>25</v>
      </c>
      <c r="B26" s="2" t="s">
        <v>85</v>
      </c>
      <c r="C26" s="2" t="s">
        <v>86</v>
      </c>
      <c r="D26" s="2" t="s">
        <v>87</v>
      </c>
      <c r="E26" s="2" t="s">
        <v>16</v>
      </c>
      <c r="F26" s="2" t="s">
        <v>54</v>
      </c>
      <c r="G26" s="2" t="s">
        <v>18</v>
      </c>
      <c r="H26" s="2">
        <v>16</v>
      </c>
      <c r="I26" s="2" t="str">
        <f>VLOOKUP(D26,부서코드표!$A$2:$C$11,2,0)</f>
        <v>재무</v>
      </c>
      <c r="J26" s="2" t="str">
        <f>VLOOKUP(E26,프로그램표!$A$2:$E$7,2,0)</f>
        <v>AI 업무 기본</v>
      </c>
      <c r="K26" s="2">
        <f>VLOOKUP(E26,프로그램표!$A$2:$E$7,3,0)</f>
        <v>14</v>
      </c>
      <c r="L26" s="3">
        <f>K26*VLOOKUP(E26,프로그램표!$A$2:$E$7,4,0)*IF(G26="Y",1,0.5)</f>
        <v>210000</v>
      </c>
      <c r="M26" s="2" t="str">
        <f t="shared" si="0"/>
        <v>우선</v>
      </c>
    </row>
    <row r="27" spans="1:13" ht="15.35" x14ac:dyDescent="0.6">
      <c r="A27" s="2">
        <v>26</v>
      </c>
      <c r="B27" s="2" t="s">
        <v>88</v>
      </c>
      <c r="C27" s="2" t="s">
        <v>89</v>
      </c>
      <c r="D27" s="2" t="s">
        <v>33</v>
      </c>
      <c r="E27" s="2" t="s">
        <v>34</v>
      </c>
      <c r="F27" s="2" t="s">
        <v>23</v>
      </c>
      <c r="G27" s="2" t="s">
        <v>18</v>
      </c>
      <c r="H27" s="2">
        <v>0</v>
      </c>
      <c r="I27" s="2" t="str">
        <f>VLOOKUP(D27,부서코드표!$A$2:$C$11,2,0)</f>
        <v>물류</v>
      </c>
      <c r="J27" s="2" t="str">
        <f>VLOOKUP(E27,프로그램표!$A$2:$E$7,2,0)</f>
        <v>AI 제작·운영 업무</v>
      </c>
      <c r="K27" s="2">
        <f>VLOOKUP(E27,프로그램표!$A$2:$E$7,3,0)</f>
        <v>12</v>
      </c>
      <c r="L27" s="3">
        <f>K27*VLOOKUP(E27,프로그램표!$A$2:$E$7,4,0)*IF(G27="Y",1,0.5)</f>
        <v>180000</v>
      </c>
      <c r="M27" s="2" t="str">
        <f t="shared" si="0"/>
        <v>우선</v>
      </c>
    </row>
    <row r="28" spans="1:13" ht="15.35" x14ac:dyDescent="0.6">
      <c r="A28" s="2">
        <v>27</v>
      </c>
      <c r="B28" s="2" t="s">
        <v>90</v>
      </c>
      <c r="C28" s="2" t="s">
        <v>91</v>
      </c>
      <c r="D28" s="2" t="s">
        <v>51</v>
      </c>
      <c r="E28" s="2" t="s">
        <v>38</v>
      </c>
      <c r="F28" s="2" t="s">
        <v>23</v>
      </c>
      <c r="G28" s="2" t="s">
        <v>18</v>
      </c>
      <c r="H28" s="2">
        <v>0</v>
      </c>
      <c r="I28" s="2" t="str">
        <f>VLOOKUP(D28,부서코드표!$A$2:$C$11,2,0)</f>
        <v>제작</v>
      </c>
      <c r="J28" s="2" t="str">
        <f>VLOOKUP(E28,프로그램표!$A$2:$E$7,2,0)</f>
        <v>AI 교육콘텐츠 검수</v>
      </c>
      <c r="K28" s="2">
        <f>VLOOKUP(E28,프로그램표!$A$2:$E$7,3,0)</f>
        <v>4</v>
      </c>
      <c r="L28" s="3">
        <f>K28*VLOOKUP(E28,프로그램표!$A$2:$E$7,4,0)*IF(G28="Y",1,0.5)</f>
        <v>40000</v>
      </c>
      <c r="M28" s="2" t="str">
        <f t="shared" si="0"/>
        <v>우선</v>
      </c>
    </row>
    <row r="29" spans="1:13" ht="15.35" x14ac:dyDescent="0.6">
      <c r="A29" s="2">
        <v>28</v>
      </c>
      <c r="B29" s="2" t="s">
        <v>92</v>
      </c>
      <c r="C29" s="2" t="s">
        <v>93</v>
      </c>
      <c r="D29" s="2" t="s">
        <v>51</v>
      </c>
      <c r="E29" s="2" t="s">
        <v>81</v>
      </c>
      <c r="F29" s="2" t="s">
        <v>94</v>
      </c>
      <c r="G29" s="2" t="s">
        <v>18</v>
      </c>
      <c r="H29" s="2">
        <v>21</v>
      </c>
      <c r="I29" s="2" t="str">
        <f>VLOOKUP(D29,부서코드표!$A$2:$C$11,2,0)</f>
        <v>제작</v>
      </c>
      <c r="J29" s="2" t="str">
        <f>VLOOKUP(E29,프로그램표!$A$2:$E$7,2,0)</f>
        <v>AI 고객응대 실무</v>
      </c>
      <c r="K29" s="2">
        <f>VLOOKUP(E29,프로그램표!$A$2:$E$7,3,0)</f>
        <v>6</v>
      </c>
      <c r="L29" s="3">
        <f>K29*VLOOKUP(E29,프로그램표!$A$2:$E$7,4,0)*IF(G29="Y",1,0.5)</f>
        <v>72000</v>
      </c>
      <c r="M29" s="2" t="str">
        <f t="shared" si="0"/>
        <v>일반</v>
      </c>
    </row>
    <row r="30" spans="1:13" ht="15.35" x14ac:dyDescent="0.6">
      <c r="A30" s="2">
        <v>29</v>
      </c>
      <c r="B30" s="2" t="s">
        <v>95</v>
      </c>
      <c r="C30" s="2" t="s">
        <v>96</v>
      </c>
      <c r="D30" s="2" t="s">
        <v>87</v>
      </c>
      <c r="E30" s="2" t="s">
        <v>16</v>
      </c>
      <c r="F30" s="2" t="s">
        <v>48</v>
      </c>
      <c r="G30" s="2" t="s">
        <v>18</v>
      </c>
      <c r="H30" s="2">
        <v>0</v>
      </c>
      <c r="I30" s="2" t="str">
        <f>VLOOKUP(D30,부서코드표!$A$2:$C$11,2,0)</f>
        <v>재무</v>
      </c>
      <c r="J30" s="2" t="str">
        <f>VLOOKUP(E30,프로그램표!$A$2:$E$7,2,0)</f>
        <v>AI 업무 기본</v>
      </c>
      <c r="K30" s="2">
        <f>VLOOKUP(E30,프로그램표!$A$2:$E$7,3,0)</f>
        <v>14</v>
      </c>
      <c r="L30" s="3">
        <f>K30*VLOOKUP(E30,프로그램표!$A$2:$E$7,4,0)*IF(G30="Y",1,0.5)</f>
        <v>210000</v>
      </c>
      <c r="M30" s="2" t="str">
        <f t="shared" si="0"/>
        <v>우선</v>
      </c>
    </row>
    <row r="31" spans="1:13" ht="15.35" x14ac:dyDescent="0.6">
      <c r="A31" s="2">
        <v>30</v>
      </c>
      <c r="B31" s="2" t="s">
        <v>97</v>
      </c>
      <c r="C31" s="2" t="s">
        <v>98</v>
      </c>
      <c r="D31" s="2" t="s">
        <v>51</v>
      </c>
      <c r="E31" s="2" t="s">
        <v>41</v>
      </c>
      <c r="F31" s="2" t="s">
        <v>23</v>
      </c>
      <c r="G31" s="2" t="s">
        <v>26</v>
      </c>
      <c r="H31" s="2">
        <v>12</v>
      </c>
      <c r="I31" s="2" t="str">
        <f>VLOOKUP(D31,부서코드표!$A$2:$C$11,2,0)</f>
        <v>제작</v>
      </c>
      <c r="J31" s="2" t="str">
        <f>VLOOKUP(E31,프로그램표!$A$2:$E$7,2,0)</f>
        <v>AI 데이터 분석 기초</v>
      </c>
      <c r="K31" s="2">
        <f>VLOOKUP(E31,프로그램표!$A$2:$E$7,3,0)</f>
        <v>10</v>
      </c>
      <c r="L31" s="3">
        <f>K31*VLOOKUP(E31,프로그램표!$A$2:$E$7,4,0)*IF(G31="Y",1,0.5)</f>
        <v>75000</v>
      </c>
      <c r="M31" s="2" t="str">
        <f t="shared" si="0"/>
        <v>일반</v>
      </c>
    </row>
    <row r="32" spans="1:13" ht="15.35" x14ac:dyDescent="0.6">
      <c r="A32" s="2">
        <v>31</v>
      </c>
      <c r="B32" s="2" t="s">
        <v>99</v>
      </c>
      <c r="C32" s="2" t="s">
        <v>100</v>
      </c>
      <c r="D32" s="2" t="s">
        <v>45</v>
      </c>
      <c r="E32" s="2" t="s">
        <v>16</v>
      </c>
      <c r="F32" s="2" t="s">
        <v>48</v>
      </c>
      <c r="G32" s="2" t="s">
        <v>18</v>
      </c>
      <c r="H32" s="2">
        <v>21</v>
      </c>
      <c r="I32" s="2" t="str">
        <f>VLOOKUP(D32,부서코드표!$A$2:$C$11,2,0)</f>
        <v>인사</v>
      </c>
      <c r="J32" s="2" t="str">
        <f>VLOOKUP(E32,프로그램표!$A$2:$E$7,2,0)</f>
        <v>AI 업무 기본</v>
      </c>
      <c r="K32" s="2">
        <f>VLOOKUP(E32,프로그램표!$A$2:$E$7,3,0)</f>
        <v>14</v>
      </c>
      <c r="L32" s="3">
        <f>K32*VLOOKUP(E32,프로그램표!$A$2:$E$7,4,0)*IF(G32="Y",1,0.5)</f>
        <v>210000</v>
      </c>
      <c r="M32" s="2" t="str">
        <f t="shared" si="0"/>
        <v>일반</v>
      </c>
    </row>
    <row r="33" spans="1:13" ht="15.35" x14ac:dyDescent="0.6">
      <c r="A33" s="2">
        <v>32</v>
      </c>
      <c r="B33" s="2" t="s">
        <v>101</v>
      </c>
      <c r="C33" s="2" t="s">
        <v>102</v>
      </c>
      <c r="D33" s="2" t="s">
        <v>37</v>
      </c>
      <c r="E33" s="2" t="s">
        <v>41</v>
      </c>
      <c r="F33" s="2" t="s">
        <v>54</v>
      </c>
      <c r="G33" s="2" t="s">
        <v>18</v>
      </c>
      <c r="H33" s="2">
        <v>6</v>
      </c>
      <c r="I33" s="2" t="str">
        <f>VLOOKUP(D33,부서코드표!$A$2:$C$11,2,0)</f>
        <v>영업</v>
      </c>
      <c r="J33" s="2" t="str">
        <f>VLOOKUP(E33,프로그램표!$A$2:$E$7,2,0)</f>
        <v>AI 데이터 분석 기초</v>
      </c>
      <c r="K33" s="2">
        <f>VLOOKUP(E33,프로그램표!$A$2:$E$7,3,0)</f>
        <v>10</v>
      </c>
      <c r="L33" s="3">
        <f>K33*VLOOKUP(E33,프로그램표!$A$2:$E$7,4,0)*IF(G33="Y",1,0.5)</f>
        <v>150000</v>
      </c>
      <c r="M33" s="2" t="str">
        <f t="shared" si="0"/>
        <v>우선</v>
      </c>
    </row>
    <row r="34" spans="1:13" ht="15.35" x14ac:dyDescent="0.6">
      <c r="A34" s="2">
        <v>33</v>
      </c>
      <c r="B34" s="2" t="s">
        <v>103</v>
      </c>
      <c r="C34" s="2" t="s">
        <v>104</v>
      </c>
      <c r="D34" s="2" t="s">
        <v>33</v>
      </c>
      <c r="E34" s="2" t="s">
        <v>22</v>
      </c>
      <c r="F34" s="2" t="s">
        <v>48</v>
      </c>
      <c r="G34" s="2" t="s">
        <v>26</v>
      </c>
      <c r="H34" s="2">
        <v>0</v>
      </c>
      <c r="I34" s="2" t="str">
        <f>VLOOKUP(D34,부서코드표!$A$2:$C$11,2,0)</f>
        <v>물류</v>
      </c>
      <c r="J34" s="2" t="str">
        <f>VLOOKUP(E34,프로그램표!$A$2:$E$7,2,0)</f>
        <v>AI 사내 보고서 작성</v>
      </c>
      <c r="K34" s="2">
        <f>VLOOKUP(E34,프로그램표!$A$2:$E$7,3,0)</f>
        <v>7</v>
      </c>
      <c r="L34" s="3">
        <f>K34*VLOOKUP(E34,프로그램표!$A$2:$E$7,4,0)*IF(G34="Y",1,0.5)</f>
        <v>42000</v>
      </c>
      <c r="M34" s="2" t="str">
        <f t="shared" ref="M34:M65" si="1">IF(AND(G34="Y",H34&lt;20),"우선","일반")</f>
        <v>일반</v>
      </c>
    </row>
    <row r="35" spans="1:13" ht="15.35" x14ac:dyDescent="0.6">
      <c r="A35" s="2">
        <v>34</v>
      </c>
      <c r="B35" s="2" t="s">
        <v>105</v>
      </c>
      <c r="C35" s="2" t="s">
        <v>106</v>
      </c>
      <c r="D35" s="2" t="s">
        <v>33</v>
      </c>
      <c r="E35" s="2" t="s">
        <v>16</v>
      </c>
      <c r="F35" s="2" t="s">
        <v>48</v>
      </c>
      <c r="G35" s="2" t="s">
        <v>18</v>
      </c>
      <c r="H35" s="2">
        <v>8</v>
      </c>
      <c r="I35" s="2" t="str">
        <f>VLOOKUP(D35,부서코드표!$A$2:$C$11,2,0)</f>
        <v>물류</v>
      </c>
      <c r="J35" s="2" t="str">
        <f>VLOOKUP(E35,프로그램표!$A$2:$E$7,2,0)</f>
        <v>AI 업무 기본</v>
      </c>
      <c r="K35" s="2">
        <f>VLOOKUP(E35,프로그램표!$A$2:$E$7,3,0)</f>
        <v>14</v>
      </c>
      <c r="L35" s="3">
        <f>K35*VLOOKUP(E35,프로그램표!$A$2:$E$7,4,0)*IF(G35="Y",1,0.5)</f>
        <v>210000</v>
      </c>
      <c r="M35" s="2" t="str">
        <f t="shared" si="1"/>
        <v>우선</v>
      </c>
    </row>
    <row r="36" spans="1:13" ht="15.35" x14ac:dyDescent="0.6">
      <c r="A36" s="2">
        <v>35</v>
      </c>
      <c r="B36" s="2" t="s">
        <v>107</v>
      </c>
      <c r="C36" s="2" t="s">
        <v>108</v>
      </c>
      <c r="D36" s="2" t="s">
        <v>15</v>
      </c>
      <c r="E36" s="2" t="s">
        <v>34</v>
      </c>
      <c r="F36" s="2" t="s">
        <v>42</v>
      </c>
      <c r="G36" s="2" t="s">
        <v>26</v>
      </c>
      <c r="H36" s="2">
        <v>14</v>
      </c>
      <c r="I36" s="2" t="str">
        <f>VLOOKUP(D36,부서코드표!$A$2:$C$11,2,0)</f>
        <v>마케팅</v>
      </c>
      <c r="J36" s="2" t="str">
        <f>VLOOKUP(E36,프로그램표!$A$2:$E$7,2,0)</f>
        <v>AI 제작·운영 업무</v>
      </c>
      <c r="K36" s="2">
        <f>VLOOKUP(E36,프로그램표!$A$2:$E$7,3,0)</f>
        <v>12</v>
      </c>
      <c r="L36" s="3">
        <f>K36*VLOOKUP(E36,프로그램표!$A$2:$E$7,4,0)*IF(G36="Y",1,0.5)</f>
        <v>90000</v>
      </c>
      <c r="M36" s="2" t="str">
        <f t="shared" si="1"/>
        <v>일반</v>
      </c>
    </row>
    <row r="37" spans="1:13" ht="15.35" x14ac:dyDescent="0.6">
      <c r="A37" s="2">
        <v>36</v>
      </c>
      <c r="B37" s="2" t="s">
        <v>109</v>
      </c>
      <c r="C37" s="2" t="s">
        <v>110</v>
      </c>
      <c r="D37" s="2" t="s">
        <v>21</v>
      </c>
      <c r="E37" s="2" t="s">
        <v>38</v>
      </c>
      <c r="F37" s="2" t="s">
        <v>30</v>
      </c>
      <c r="G37" s="2" t="s">
        <v>18</v>
      </c>
      <c r="H37" s="2">
        <v>0</v>
      </c>
      <c r="I37" s="2" t="str">
        <f>VLOOKUP(D37,부서코드표!$A$2:$C$11,2,0)</f>
        <v>편집·콘텐츠</v>
      </c>
      <c r="J37" s="2" t="str">
        <f>VLOOKUP(E37,프로그램표!$A$2:$E$7,2,0)</f>
        <v>AI 교육콘텐츠 검수</v>
      </c>
      <c r="K37" s="2">
        <f>VLOOKUP(E37,프로그램표!$A$2:$E$7,3,0)</f>
        <v>4</v>
      </c>
      <c r="L37" s="3">
        <f>K37*VLOOKUP(E37,프로그램표!$A$2:$E$7,4,0)*IF(G37="Y",1,0.5)</f>
        <v>40000</v>
      </c>
      <c r="M37" s="2" t="str">
        <f t="shared" si="1"/>
        <v>우선</v>
      </c>
    </row>
    <row r="38" spans="1:13" ht="15.35" x14ac:dyDescent="0.6">
      <c r="A38" s="2">
        <v>37</v>
      </c>
      <c r="B38" s="2" t="s">
        <v>111</v>
      </c>
      <c r="C38" s="2" t="s">
        <v>112</v>
      </c>
      <c r="D38" s="2" t="s">
        <v>29</v>
      </c>
      <c r="E38" s="2" t="s">
        <v>38</v>
      </c>
      <c r="F38" s="2" t="s">
        <v>23</v>
      </c>
      <c r="G38" s="2" t="s">
        <v>18</v>
      </c>
      <c r="H38" s="2">
        <v>5</v>
      </c>
      <c r="I38" s="2" t="str">
        <f>VLOOKUP(D38,부서코드표!$A$2:$C$11,2,0)</f>
        <v>디지털교육</v>
      </c>
      <c r="J38" s="2" t="str">
        <f>VLOOKUP(E38,프로그램표!$A$2:$E$7,2,0)</f>
        <v>AI 교육콘텐츠 검수</v>
      </c>
      <c r="K38" s="2">
        <f>VLOOKUP(E38,프로그램표!$A$2:$E$7,3,0)</f>
        <v>4</v>
      </c>
      <c r="L38" s="3">
        <f>K38*VLOOKUP(E38,프로그램표!$A$2:$E$7,4,0)*IF(G38="Y",1,0.5)</f>
        <v>40000</v>
      </c>
      <c r="M38" s="2" t="str">
        <f t="shared" si="1"/>
        <v>우선</v>
      </c>
    </row>
    <row r="39" spans="1:13" ht="15.35" x14ac:dyDescent="0.6">
      <c r="A39" s="2">
        <v>38</v>
      </c>
      <c r="B39" s="2" t="s">
        <v>113</v>
      </c>
      <c r="C39" s="2" t="s">
        <v>114</v>
      </c>
      <c r="D39" s="2" t="s">
        <v>37</v>
      </c>
      <c r="E39" s="2" t="s">
        <v>16</v>
      </c>
      <c r="F39" s="2" t="s">
        <v>42</v>
      </c>
      <c r="G39" s="2" t="s">
        <v>26</v>
      </c>
      <c r="H39" s="2">
        <v>40</v>
      </c>
      <c r="I39" s="2" t="str">
        <f>VLOOKUP(D39,부서코드표!$A$2:$C$11,2,0)</f>
        <v>영업</v>
      </c>
      <c r="J39" s="2" t="str">
        <f>VLOOKUP(E39,프로그램표!$A$2:$E$7,2,0)</f>
        <v>AI 업무 기본</v>
      </c>
      <c r="K39" s="2">
        <f>VLOOKUP(E39,프로그램표!$A$2:$E$7,3,0)</f>
        <v>14</v>
      </c>
      <c r="L39" s="3">
        <f>K39*VLOOKUP(E39,프로그램표!$A$2:$E$7,4,0)*IF(G39="Y",1,0.5)</f>
        <v>105000</v>
      </c>
      <c r="M39" s="2" t="str">
        <f t="shared" si="1"/>
        <v>일반</v>
      </c>
    </row>
    <row r="40" spans="1:13" ht="15.35" x14ac:dyDescent="0.6">
      <c r="A40" s="2">
        <v>39</v>
      </c>
      <c r="B40" s="2" t="s">
        <v>115</v>
      </c>
      <c r="C40" s="2" t="s">
        <v>116</v>
      </c>
      <c r="D40" s="2" t="s">
        <v>33</v>
      </c>
      <c r="E40" s="2" t="s">
        <v>16</v>
      </c>
      <c r="F40" s="2" t="s">
        <v>48</v>
      </c>
      <c r="G40" s="2" t="s">
        <v>18</v>
      </c>
      <c r="H40" s="2">
        <v>37</v>
      </c>
      <c r="I40" s="2" t="str">
        <f>VLOOKUP(D40,부서코드표!$A$2:$C$11,2,0)</f>
        <v>물류</v>
      </c>
      <c r="J40" s="2" t="str">
        <f>VLOOKUP(E40,프로그램표!$A$2:$E$7,2,0)</f>
        <v>AI 업무 기본</v>
      </c>
      <c r="K40" s="2">
        <f>VLOOKUP(E40,프로그램표!$A$2:$E$7,3,0)</f>
        <v>14</v>
      </c>
      <c r="L40" s="3">
        <f>K40*VLOOKUP(E40,프로그램표!$A$2:$E$7,4,0)*IF(G40="Y",1,0.5)</f>
        <v>210000</v>
      </c>
      <c r="M40" s="2" t="str">
        <f t="shared" si="1"/>
        <v>일반</v>
      </c>
    </row>
    <row r="41" spans="1:13" ht="15.35" x14ac:dyDescent="0.6">
      <c r="A41" s="2">
        <v>40</v>
      </c>
      <c r="B41" s="2" t="s">
        <v>117</v>
      </c>
      <c r="C41" s="2" t="s">
        <v>118</v>
      </c>
      <c r="D41" s="2" t="s">
        <v>62</v>
      </c>
      <c r="E41" s="2" t="s">
        <v>38</v>
      </c>
      <c r="F41" s="2" t="s">
        <v>48</v>
      </c>
      <c r="G41" s="2" t="s">
        <v>18</v>
      </c>
      <c r="H41" s="2">
        <v>15</v>
      </c>
      <c r="I41" s="2" t="str">
        <f>VLOOKUP(D41,부서코드표!$A$2:$C$11,2,0)</f>
        <v>디자인</v>
      </c>
      <c r="J41" s="2" t="str">
        <f>VLOOKUP(E41,프로그램표!$A$2:$E$7,2,0)</f>
        <v>AI 교육콘텐츠 검수</v>
      </c>
      <c r="K41" s="2">
        <f>VLOOKUP(E41,프로그램표!$A$2:$E$7,3,0)</f>
        <v>4</v>
      </c>
      <c r="L41" s="3">
        <f>K41*VLOOKUP(E41,프로그램표!$A$2:$E$7,4,0)*IF(G41="Y",1,0.5)</f>
        <v>40000</v>
      </c>
      <c r="M41" s="2" t="str">
        <f t="shared" si="1"/>
        <v>우선</v>
      </c>
    </row>
    <row r="42" spans="1:13" ht="15.35" x14ac:dyDescent="0.6">
      <c r="A42" s="2">
        <v>41</v>
      </c>
      <c r="B42" s="2" t="s">
        <v>119</v>
      </c>
      <c r="C42" s="2" t="s">
        <v>120</v>
      </c>
      <c r="D42" s="2" t="s">
        <v>37</v>
      </c>
      <c r="E42" s="2" t="s">
        <v>16</v>
      </c>
      <c r="F42" s="2" t="s">
        <v>94</v>
      </c>
      <c r="G42" s="2" t="s">
        <v>26</v>
      </c>
      <c r="H42" s="2">
        <v>22</v>
      </c>
      <c r="I42" s="2" t="str">
        <f>VLOOKUP(D42,부서코드표!$A$2:$C$11,2,0)</f>
        <v>영업</v>
      </c>
      <c r="J42" s="2" t="str">
        <f>VLOOKUP(E42,프로그램표!$A$2:$E$7,2,0)</f>
        <v>AI 업무 기본</v>
      </c>
      <c r="K42" s="2">
        <f>VLOOKUP(E42,프로그램표!$A$2:$E$7,3,0)</f>
        <v>14</v>
      </c>
      <c r="L42" s="3">
        <f>K42*VLOOKUP(E42,프로그램표!$A$2:$E$7,4,0)*IF(G42="Y",1,0.5)</f>
        <v>105000</v>
      </c>
      <c r="M42" s="2" t="str">
        <f t="shared" si="1"/>
        <v>일반</v>
      </c>
    </row>
    <row r="43" spans="1:13" ht="15.35" x14ac:dyDescent="0.6">
      <c r="A43" s="2">
        <v>42</v>
      </c>
      <c r="B43" s="2" t="s">
        <v>121</v>
      </c>
      <c r="C43" s="2" t="s">
        <v>122</v>
      </c>
      <c r="D43" s="2" t="s">
        <v>62</v>
      </c>
      <c r="E43" s="2" t="s">
        <v>34</v>
      </c>
      <c r="F43" s="2" t="s">
        <v>59</v>
      </c>
      <c r="G43" s="2" t="s">
        <v>18</v>
      </c>
      <c r="H43" s="2">
        <v>23</v>
      </c>
      <c r="I43" s="2" t="str">
        <f>VLOOKUP(D43,부서코드표!$A$2:$C$11,2,0)</f>
        <v>디자인</v>
      </c>
      <c r="J43" s="2" t="str">
        <f>VLOOKUP(E43,프로그램표!$A$2:$E$7,2,0)</f>
        <v>AI 제작·운영 업무</v>
      </c>
      <c r="K43" s="2">
        <f>VLOOKUP(E43,프로그램표!$A$2:$E$7,3,0)</f>
        <v>12</v>
      </c>
      <c r="L43" s="3">
        <f>K43*VLOOKUP(E43,프로그램표!$A$2:$E$7,4,0)*IF(G43="Y",1,0.5)</f>
        <v>180000</v>
      </c>
      <c r="M43" s="2" t="str">
        <f t="shared" si="1"/>
        <v>일반</v>
      </c>
    </row>
    <row r="44" spans="1:13" ht="15.35" x14ac:dyDescent="0.6">
      <c r="A44" s="2">
        <v>43</v>
      </c>
      <c r="B44" s="2" t="s">
        <v>123</v>
      </c>
      <c r="C44" s="2" t="s">
        <v>124</v>
      </c>
      <c r="D44" s="2" t="s">
        <v>21</v>
      </c>
      <c r="E44" s="2" t="s">
        <v>16</v>
      </c>
      <c r="F44" s="2" t="s">
        <v>30</v>
      </c>
      <c r="G44" s="2" t="s">
        <v>18</v>
      </c>
      <c r="H44" s="2">
        <v>31</v>
      </c>
      <c r="I44" s="2" t="str">
        <f>VLOOKUP(D44,부서코드표!$A$2:$C$11,2,0)</f>
        <v>편집·콘텐츠</v>
      </c>
      <c r="J44" s="2" t="str">
        <f>VLOOKUP(E44,프로그램표!$A$2:$E$7,2,0)</f>
        <v>AI 업무 기본</v>
      </c>
      <c r="K44" s="2">
        <f>VLOOKUP(E44,프로그램표!$A$2:$E$7,3,0)</f>
        <v>14</v>
      </c>
      <c r="L44" s="3">
        <f>K44*VLOOKUP(E44,프로그램표!$A$2:$E$7,4,0)*IF(G44="Y",1,0.5)</f>
        <v>210000</v>
      </c>
      <c r="M44" s="2" t="str">
        <f t="shared" si="1"/>
        <v>일반</v>
      </c>
    </row>
    <row r="45" spans="1:13" ht="15.35" x14ac:dyDescent="0.6">
      <c r="A45" s="2">
        <v>44</v>
      </c>
      <c r="B45" s="2" t="s">
        <v>125</v>
      </c>
      <c r="C45" s="2" t="s">
        <v>126</v>
      </c>
      <c r="D45" s="2" t="s">
        <v>15</v>
      </c>
      <c r="E45" s="2" t="s">
        <v>16</v>
      </c>
      <c r="F45" s="2" t="s">
        <v>30</v>
      </c>
      <c r="G45" s="2" t="s">
        <v>18</v>
      </c>
      <c r="H45" s="2">
        <v>2</v>
      </c>
      <c r="I45" s="2" t="str">
        <f>VLOOKUP(D45,부서코드표!$A$2:$C$11,2,0)</f>
        <v>마케팅</v>
      </c>
      <c r="J45" s="2" t="str">
        <f>VLOOKUP(E45,프로그램표!$A$2:$E$7,2,0)</f>
        <v>AI 업무 기본</v>
      </c>
      <c r="K45" s="2">
        <f>VLOOKUP(E45,프로그램표!$A$2:$E$7,3,0)</f>
        <v>14</v>
      </c>
      <c r="L45" s="3">
        <f>K45*VLOOKUP(E45,프로그램표!$A$2:$E$7,4,0)*IF(G45="Y",1,0.5)</f>
        <v>210000</v>
      </c>
      <c r="M45" s="2" t="str">
        <f t="shared" si="1"/>
        <v>우선</v>
      </c>
    </row>
    <row r="46" spans="1:13" ht="15.35" x14ac:dyDescent="0.6">
      <c r="A46" s="2">
        <v>45</v>
      </c>
      <c r="B46" s="2" t="s">
        <v>127</v>
      </c>
      <c r="C46" s="2" t="s">
        <v>128</v>
      </c>
      <c r="D46" s="2" t="s">
        <v>87</v>
      </c>
      <c r="E46" s="2" t="s">
        <v>38</v>
      </c>
      <c r="F46" s="2" t="s">
        <v>59</v>
      </c>
      <c r="G46" s="2" t="s">
        <v>26</v>
      </c>
      <c r="H46" s="2">
        <v>8</v>
      </c>
      <c r="I46" s="2" t="str">
        <f>VLOOKUP(D46,부서코드표!$A$2:$C$11,2,0)</f>
        <v>재무</v>
      </c>
      <c r="J46" s="2" t="str">
        <f>VLOOKUP(E46,프로그램표!$A$2:$E$7,2,0)</f>
        <v>AI 교육콘텐츠 검수</v>
      </c>
      <c r="K46" s="2">
        <f>VLOOKUP(E46,프로그램표!$A$2:$E$7,3,0)</f>
        <v>4</v>
      </c>
      <c r="L46" s="3">
        <f>K46*VLOOKUP(E46,프로그램표!$A$2:$E$7,4,0)*IF(G46="Y",1,0.5)</f>
        <v>20000</v>
      </c>
      <c r="M46" s="2" t="str">
        <f t="shared" si="1"/>
        <v>일반</v>
      </c>
    </row>
    <row r="47" spans="1:13" ht="15.35" x14ac:dyDescent="0.6">
      <c r="A47" s="2">
        <v>46</v>
      </c>
      <c r="B47" s="2" t="s">
        <v>129</v>
      </c>
      <c r="C47" s="2" t="s">
        <v>130</v>
      </c>
      <c r="D47" s="2" t="s">
        <v>21</v>
      </c>
      <c r="E47" s="2" t="s">
        <v>16</v>
      </c>
      <c r="F47" s="2" t="s">
        <v>59</v>
      </c>
      <c r="G47" s="2" t="s">
        <v>26</v>
      </c>
      <c r="H47" s="2">
        <v>26</v>
      </c>
      <c r="I47" s="2" t="str">
        <f>VLOOKUP(D47,부서코드표!$A$2:$C$11,2,0)</f>
        <v>편집·콘텐츠</v>
      </c>
      <c r="J47" s="2" t="str">
        <f>VLOOKUP(E47,프로그램표!$A$2:$E$7,2,0)</f>
        <v>AI 업무 기본</v>
      </c>
      <c r="K47" s="2">
        <f>VLOOKUP(E47,프로그램표!$A$2:$E$7,3,0)</f>
        <v>14</v>
      </c>
      <c r="L47" s="3">
        <f>K47*VLOOKUP(E47,프로그램표!$A$2:$E$7,4,0)*IF(G47="Y",1,0.5)</f>
        <v>105000</v>
      </c>
      <c r="M47" s="2" t="str">
        <f t="shared" si="1"/>
        <v>일반</v>
      </c>
    </row>
    <row r="48" spans="1:13" ht="15.35" x14ac:dyDescent="0.6">
      <c r="A48" s="2">
        <v>47</v>
      </c>
      <c r="B48" s="2" t="s">
        <v>131</v>
      </c>
      <c r="C48" s="2" t="s">
        <v>132</v>
      </c>
      <c r="D48" s="2" t="s">
        <v>15</v>
      </c>
      <c r="E48" s="2" t="s">
        <v>16</v>
      </c>
      <c r="F48" s="2" t="s">
        <v>42</v>
      </c>
      <c r="G48" s="2" t="s">
        <v>18</v>
      </c>
      <c r="H48" s="2">
        <v>0</v>
      </c>
      <c r="I48" s="2" t="str">
        <f>VLOOKUP(D48,부서코드표!$A$2:$C$11,2,0)</f>
        <v>마케팅</v>
      </c>
      <c r="J48" s="2" t="str">
        <f>VLOOKUP(E48,프로그램표!$A$2:$E$7,2,0)</f>
        <v>AI 업무 기본</v>
      </c>
      <c r="K48" s="2">
        <f>VLOOKUP(E48,프로그램표!$A$2:$E$7,3,0)</f>
        <v>14</v>
      </c>
      <c r="L48" s="3">
        <f>K48*VLOOKUP(E48,프로그램표!$A$2:$E$7,4,0)*IF(G48="Y",1,0.5)</f>
        <v>210000</v>
      </c>
      <c r="M48" s="2" t="str">
        <f t="shared" si="1"/>
        <v>우선</v>
      </c>
    </row>
    <row r="49" spans="1:13" ht="15.35" x14ac:dyDescent="0.6">
      <c r="A49" s="2">
        <v>48</v>
      </c>
      <c r="B49" s="2" t="s">
        <v>133</v>
      </c>
      <c r="C49" s="2" t="s">
        <v>134</v>
      </c>
      <c r="D49" s="2" t="s">
        <v>33</v>
      </c>
      <c r="E49" s="2" t="s">
        <v>22</v>
      </c>
      <c r="F49" s="2" t="s">
        <v>42</v>
      </c>
      <c r="G49" s="2" t="s">
        <v>18</v>
      </c>
      <c r="H49" s="2">
        <v>0</v>
      </c>
      <c r="I49" s="2" t="str">
        <f>VLOOKUP(D49,부서코드표!$A$2:$C$11,2,0)</f>
        <v>물류</v>
      </c>
      <c r="J49" s="2" t="str">
        <f>VLOOKUP(E49,프로그램표!$A$2:$E$7,2,0)</f>
        <v>AI 사내 보고서 작성</v>
      </c>
      <c r="K49" s="2">
        <f>VLOOKUP(E49,프로그램표!$A$2:$E$7,3,0)</f>
        <v>7</v>
      </c>
      <c r="L49" s="3">
        <f>K49*VLOOKUP(E49,프로그램표!$A$2:$E$7,4,0)*IF(G49="Y",1,0.5)</f>
        <v>84000</v>
      </c>
      <c r="M49" s="2" t="str">
        <f t="shared" si="1"/>
        <v>우선</v>
      </c>
    </row>
    <row r="50" spans="1:13" ht="15.35" x14ac:dyDescent="0.6">
      <c r="A50" s="2">
        <v>49</v>
      </c>
      <c r="B50" s="2" t="s">
        <v>135</v>
      </c>
      <c r="C50" s="2" t="s">
        <v>136</v>
      </c>
      <c r="D50" s="2" t="s">
        <v>37</v>
      </c>
      <c r="E50" s="2" t="s">
        <v>41</v>
      </c>
      <c r="F50" s="2" t="s">
        <v>42</v>
      </c>
      <c r="G50" s="2" t="s">
        <v>18</v>
      </c>
      <c r="H50" s="2">
        <v>38</v>
      </c>
      <c r="I50" s="2" t="str">
        <f>VLOOKUP(D50,부서코드표!$A$2:$C$11,2,0)</f>
        <v>영업</v>
      </c>
      <c r="J50" s="2" t="str">
        <f>VLOOKUP(E50,프로그램표!$A$2:$E$7,2,0)</f>
        <v>AI 데이터 분석 기초</v>
      </c>
      <c r="K50" s="2">
        <f>VLOOKUP(E50,프로그램표!$A$2:$E$7,3,0)</f>
        <v>10</v>
      </c>
      <c r="L50" s="3">
        <f>K50*VLOOKUP(E50,프로그램표!$A$2:$E$7,4,0)*IF(G50="Y",1,0.5)</f>
        <v>150000</v>
      </c>
      <c r="M50" s="2" t="str">
        <f t="shared" si="1"/>
        <v>일반</v>
      </c>
    </row>
    <row r="51" spans="1:13" ht="15.35" x14ac:dyDescent="0.6">
      <c r="A51" s="2">
        <v>50</v>
      </c>
      <c r="B51" s="2" t="s">
        <v>137</v>
      </c>
      <c r="C51" s="2" t="s">
        <v>138</v>
      </c>
      <c r="D51" s="2" t="s">
        <v>62</v>
      </c>
      <c r="E51" s="2" t="s">
        <v>41</v>
      </c>
      <c r="F51" s="2" t="s">
        <v>94</v>
      </c>
      <c r="G51" s="2" t="s">
        <v>18</v>
      </c>
      <c r="H51" s="2">
        <v>31</v>
      </c>
      <c r="I51" s="2" t="str">
        <f>VLOOKUP(D51,부서코드표!$A$2:$C$11,2,0)</f>
        <v>디자인</v>
      </c>
      <c r="J51" s="2" t="str">
        <f>VLOOKUP(E51,프로그램표!$A$2:$E$7,2,0)</f>
        <v>AI 데이터 분석 기초</v>
      </c>
      <c r="K51" s="2">
        <f>VLOOKUP(E51,프로그램표!$A$2:$E$7,3,0)</f>
        <v>10</v>
      </c>
      <c r="L51" s="3">
        <f>K51*VLOOKUP(E51,프로그램표!$A$2:$E$7,4,0)*IF(G51="Y",1,0.5)</f>
        <v>150000</v>
      </c>
      <c r="M51" s="2" t="str">
        <f t="shared" si="1"/>
        <v>일반</v>
      </c>
    </row>
    <row r="52" spans="1:13" ht="15.35" x14ac:dyDescent="0.6">
      <c r="A52" s="2">
        <v>51</v>
      </c>
      <c r="B52" s="2" t="s">
        <v>139</v>
      </c>
      <c r="C52" s="2" t="s">
        <v>140</v>
      </c>
      <c r="D52" s="2" t="s">
        <v>84</v>
      </c>
      <c r="E52" s="2" t="s">
        <v>38</v>
      </c>
      <c r="F52" s="2" t="s">
        <v>23</v>
      </c>
      <c r="G52" s="2" t="s">
        <v>18</v>
      </c>
      <c r="H52" s="2">
        <v>0</v>
      </c>
      <c r="I52" s="2" t="str">
        <f>VLOOKUP(D52,부서코드표!$A$2:$C$11,2,0)</f>
        <v>고객지원</v>
      </c>
      <c r="J52" s="2" t="str">
        <f>VLOOKUP(E52,프로그램표!$A$2:$E$7,2,0)</f>
        <v>AI 교육콘텐츠 검수</v>
      </c>
      <c r="K52" s="2">
        <f>VLOOKUP(E52,프로그램표!$A$2:$E$7,3,0)</f>
        <v>4</v>
      </c>
      <c r="L52" s="3">
        <f>K52*VLOOKUP(E52,프로그램표!$A$2:$E$7,4,0)*IF(G52="Y",1,0.5)</f>
        <v>40000</v>
      </c>
      <c r="M52" s="2" t="str">
        <f t="shared" si="1"/>
        <v>우선</v>
      </c>
    </row>
    <row r="53" spans="1:13" ht="15.35" x14ac:dyDescent="0.6">
      <c r="A53" s="2">
        <v>52</v>
      </c>
      <c r="B53" s="2" t="s">
        <v>141</v>
      </c>
      <c r="C53" s="2" t="s">
        <v>142</v>
      </c>
      <c r="D53" s="2" t="s">
        <v>37</v>
      </c>
      <c r="E53" s="2" t="s">
        <v>81</v>
      </c>
      <c r="F53" s="2" t="s">
        <v>30</v>
      </c>
      <c r="G53" s="2" t="s">
        <v>18</v>
      </c>
      <c r="H53" s="2">
        <v>6</v>
      </c>
      <c r="I53" s="2" t="str">
        <f>VLOOKUP(D53,부서코드표!$A$2:$C$11,2,0)</f>
        <v>영업</v>
      </c>
      <c r="J53" s="2" t="str">
        <f>VLOOKUP(E53,프로그램표!$A$2:$E$7,2,0)</f>
        <v>AI 고객응대 실무</v>
      </c>
      <c r="K53" s="2">
        <f>VLOOKUP(E53,프로그램표!$A$2:$E$7,3,0)</f>
        <v>6</v>
      </c>
      <c r="L53" s="3">
        <f>K53*VLOOKUP(E53,프로그램표!$A$2:$E$7,4,0)*IF(G53="Y",1,0.5)</f>
        <v>72000</v>
      </c>
      <c r="M53" s="2" t="str">
        <f t="shared" si="1"/>
        <v>우선</v>
      </c>
    </row>
    <row r="54" spans="1:13" ht="15.35" x14ac:dyDescent="0.6">
      <c r="A54" s="2">
        <v>53</v>
      </c>
      <c r="B54" s="2" t="s">
        <v>143</v>
      </c>
      <c r="C54" s="2" t="s">
        <v>144</v>
      </c>
      <c r="D54" s="2" t="s">
        <v>21</v>
      </c>
      <c r="E54" s="2" t="s">
        <v>34</v>
      </c>
      <c r="F54" s="2" t="s">
        <v>54</v>
      </c>
      <c r="G54" s="2" t="s">
        <v>18</v>
      </c>
      <c r="H54" s="2">
        <v>14</v>
      </c>
      <c r="I54" s="2" t="str">
        <f>VLOOKUP(D54,부서코드표!$A$2:$C$11,2,0)</f>
        <v>편집·콘텐츠</v>
      </c>
      <c r="J54" s="2" t="str">
        <f>VLOOKUP(E54,프로그램표!$A$2:$E$7,2,0)</f>
        <v>AI 제작·운영 업무</v>
      </c>
      <c r="K54" s="2">
        <f>VLOOKUP(E54,프로그램표!$A$2:$E$7,3,0)</f>
        <v>12</v>
      </c>
      <c r="L54" s="3">
        <f>K54*VLOOKUP(E54,프로그램표!$A$2:$E$7,4,0)*IF(G54="Y",1,0.5)</f>
        <v>180000</v>
      </c>
      <c r="M54" s="2" t="str">
        <f t="shared" si="1"/>
        <v>우선</v>
      </c>
    </row>
    <row r="55" spans="1:13" ht="15.35" x14ac:dyDescent="0.6">
      <c r="A55" s="2">
        <v>54</v>
      </c>
      <c r="B55" s="2" t="s">
        <v>145</v>
      </c>
      <c r="C55" s="2" t="s">
        <v>146</v>
      </c>
      <c r="D55" s="2" t="s">
        <v>62</v>
      </c>
      <c r="E55" s="2" t="s">
        <v>22</v>
      </c>
      <c r="F55" s="2" t="s">
        <v>94</v>
      </c>
      <c r="G55" s="2" t="s">
        <v>18</v>
      </c>
      <c r="H55" s="2">
        <v>15</v>
      </c>
      <c r="I55" s="2" t="str">
        <f>VLOOKUP(D55,부서코드표!$A$2:$C$11,2,0)</f>
        <v>디자인</v>
      </c>
      <c r="J55" s="2" t="str">
        <f>VLOOKUP(E55,프로그램표!$A$2:$E$7,2,0)</f>
        <v>AI 사내 보고서 작성</v>
      </c>
      <c r="K55" s="2">
        <f>VLOOKUP(E55,프로그램표!$A$2:$E$7,3,0)</f>
        <v>7</v>
      </c>
      <c r="L55" s="3">
        <f>K55*VLOOKUP(E55,프로그램표!$A$2:$E$7,4,0)*IF(G55="Y",1,0.5)</f>
        <v>84000</v>
      </c>
      <c r="M55" s="2" t="str">
        <f t="shared" si="1"/>
        <v>우선</v>
      </c>
    </row>
    <row r="56" spans="1:13" ht="15.35" x14ac:dyDescent="0.6">
      <c r="A56" s="2">
        <v>55</v>
      </c>
      <c r="B56" s="2" t="s">
        <v>147</v>
      </c>
      <c r="C56" s="2" t="s">
        <v>148</v>
      </c>
      <c r="D56" s="2" t="s">
        <v>45</v>
      </c>
      <c r="E56" s="2" t="s">
        <v>41</v>
      </c>
      <c r="F56" s="2" t="s">
        <v>42</v>
      </c>
      <c r="G56" s="2" t="s">
        <v>26</v>
      </c>
      <c r="H56" s="2">
        <v>21</v>
      </c>
      <c r="I56" s="2" t="str">
        <f>VLOOKUP(D56,부서코드표!$A$2:$C$11,2,0)</f>
        <v>인사</v>
      </c>
      <c r="J56" s="2" t="str">
        <f>VLOOKUP(E56,프로그램표!$A$2:$E$7,2,0)</f>
        <v>AI 데이터 분석 기초</v>
      </c>
      <c r="K56" s="2">
        <f>VLOOKUP(E56,프로그램표!$A$2:$E$7,3,0)</f>
        <v>10</v>
      </c>
      <c r="L56" s="3">
        <f>K56*VLOOKUP(E56,프로그램표!$A$2:$E$7,4,0)*IF(G56="Y",1,0.5)</f>
        <v>75000</v>
      </c>
      <c r="M56" s="2" t="str">
        <f t="shared" si="1"/>
        <v>일반</v>
      </c>
    </row>
    <row r="57" spans="1:13" ht="15.35" x14ac:dyDescent="0.6">
      <c r="A57" s="2">
        <v>56</v>
      </c>
      <c r="B57" s="2" t="s">
        <v>149</v>
      </c>
      <c r="C57" s="2" t="s">
        <v>150</v>
      </c>
      <c r="D57" s="2" t="s">
        <v>21</v>
      </c>
      <c r="E57" s="2" t="s">
        <v>38</v>
      </c>
      <c r="F57" s="2" t="s">
        <v>48</v>
      </c>
      <c r="G57" s="2" t="s">
        <v>18</v>
      </c>
      <c r="H57" s="2">
        <v>36</v>
      </c>
      <c r="I57" s="2" t="str">
        <f>VLOOKUP(D57,부서코드표!$A$2:$C$11,2,0)</f>
        <v>편집·콘텐츠</v>
      </c>
      <c r="J57" s="2" t="str">
        <f>VLOOKUP(E57,프로그램표!$A$2:$E$7,2,0)</f>
        <v>AI 교육콘텐츠 검수</v>
      </c>
      <c r="K57" s="2">
        <f>VLOOKUP(E57,프로그램표!$A$2:$E$7,3,0)</f>
        <v>4</v>
      </c>
      <c r="L57" s="3">
        <f>K57*VLOOKUP(E57,프로그램표!$A$2:$E$7,4,0)*IF(G57="Y",1,0.5)</f>
        <v>40000</v>
      </c>
      <c r="M57" s="2" t="str">
        <f t="shared" si="1"/>
        <v>일반</v>
      </c>
    </row>
    <row r="58" spans="1:13" ht="15.35" x14ac:dyDescent="0.6">
      <c r="A58" s="2">
        <v>57</v>
      </c>
      <c r="B58" s="2" t="s">
        <v>151</v>
      </c>
      <c r="C58" s="2" t="s">
        <v>152</v>
      </c>
      <c r="D58" s="2" t="s">
        <v>84</v>
      </c>
      <c r="E58" s="2" t="s">
        <v>22</v>
      </c>
      <c r="F58" s="2" t="s">
        <v>59</v>
      </c>
      <c r="G58" s="2" t="s">
        <v>26</v>
      </c>
      <c r="H58" s="2">
        <v>0</v>
      </c>
      <c r="I58" s="2" t="str">
        <f>VLOOKUP(D58,부서코드표!$A$2:$C$11,2,0)</f>
        <v>고객지원</v>
      </c>
      <c r="J58" s="2" t="str">
        <f>VLOOKUP(E58,프로그램표!$A$2:$E$7,2,0)</f>
        <v>AI 사내 보고서 작성</v>
      </c>
      <c r="K58" s="2">
        <f>VLOOKUP(E58,프로그램표!$A$2:$E$7,3,0)</f>
        <v>7</v>
      </c>
      <c r="L58" s="3">
        <f>K58*VLOOKUP(E58,프로그램표!$A$2:$E$7,4,0)*IF(G58="Y",1,0.5)</f>
        <v>42000</v>
      </c>
      <c r="M58" s="2" t="str">
        <f t="shared" si="1"/>
        <v>일반</v>
      </c>
    </row>
    <row r="59" spans="1:13" ht="15.35" x14ac:dyDescent="0.6">
      <c r="A59" s="2">
        <v>58</v>
      </c>
      <c r="B59" s="2" t="s">
        <v>153</v>
      </c>
      <c r="C59" s="2" t="s">
        <v>154</v>
      </c>
      <c r="D59" s="2" t="s">
        <v>62</v>
      </c>
      <c r="E59" s="2" t="s">
        <v>34</v>
      </c>
      <c r="F59" s="2" t="s">
        <v>59</v>
      </c>
      <c r="G59" s="2" t="s">
        <v>18</v>
      </c>
      <c r="H59" s="2">
        <v>24</v>
      </c>
      <c r="I59" s="2" t="str">
        <f>VLOOKUP(D59,부서코드표!$A$2:$C$11,2,0)</f>
        <v>디자인</v>
      </c>
      <c r="J59" s="2" t="str">
        <f>VLOOKUP(E59,프로그램표!$A$2:$E$7,2,0)</f>
        <v>AI 제작·운영 업무</v>
      </c>
      <c r="K59" s="2">
        <f>VLOOKUP(E59,프로그램표!$A$2:$E$7,3,0)</f>
        <v>12</v>
      </c>
      <c r="L59" s="3">
        <f>K59*VLOOKUP(E59,프로그램표!$A$2:$E$7,4,0)*IF(G59="Y",1,0.5)</f>
        <v>180000</v>
      </c>
      <c r="M59" s="2" t="str">
        <f t="shared" si="1"/>
        <v>일반</v>
      </c>
    </row>
    <row r="60" spans="1:13" ht="15.35" x14ac:dyDescent="0.6">
      <c r="A60" s="2">
        <v>59</v>
      </c>
      <c r="B60" s="2" t="s">
        <v>155</v>
      </c>
      <c r="C60" s="2" t="s">
        <v>156</v>
      </c>
      <c r="D60" s="2" t="s">
        <v>62</v>
      </c>
      <c r="E60" s="2" t="s">
        <v>38</v>
      </c>
      <c r="F60" s="2" t="s">
        <v>17</v>
      </c>
      <c r="G60" s="2" t="s">
        <v>18</v>
      </c>
      <c r="H60" s="2">
        <v>36</v>
      </c>
      <c r="I60" s="2" t="str">
        <f>VLOOKUP(D60,부서코드표!$A$2:$C$11,2,0)</f>
        <v>디자인</v>
      </c>
      <c r="J60" s="2" t="str">
        <f>VLOOKUP(E60,프로그램표!$A$2:$E$7,2,0)</f>
        <v>AI 교육콘텐츠 검수</v>
      </c>
      <c r="K60" s="2">
        <f>VLOOKUP(E60,프로그램표!$A$2:$E$7,3,0)</f>
        <v>4</v>
      </c>
      <c r="L60" s="3">
        <f>K60*VLOOKUP(E60,프로그램표!$A$2:$E$7,4,0)*IF(G60="Y",1,0.5)</f>
        <v>40000</v>
      </c>
      <c r="M60" s="2" t="str">
        <f t="shared" si="1"/>
        <v>일반</v>
      </c>
    </row>
    <row r="61" spans="1:13" ht="15.35" x14ac:dyDescent="0.6">
      <c r="A61" s="2">
        <v>60</v>
      </c>
      <c r="B61" s="2" t="s">
        <v>157</v>
      </c>
      <c r="C61" s="2" t="s">
        <v>158</v>
      </c>
      <c r="D61" s="2" t="s">
        <v>15</v>
      </c>
      <c r="E61" s="2" t="s">
        <v>16</v>
      </c>
      <c r="F61" s="2" t="s">
        <v>48</v>
      </c>
      <c r="G61" s="2" t="s">
        <v>18</v>
      </c>
      <c r="H61" s="2">
        <v>8</v>
      </c>
      <c r="I61" s="2" t="str">
        <f>VLOOKUP(D61,부서코드표!$A$2:$C$11,2,0)</f>
        <v>마케팅</v>
      </c>
      <c r="J61" s="2" t="str">
        <f>VLOOKUP(E61,프로그램표!$A$2:$E$7,2,0)</f>
        <v>AI 업무 기본</v>
      </c>
      <c r="K61" s="2">
        <f>VLOOKUP(E61,프로그램표!$A$2:$E$7,3,0)</f>
        <v>14</v>
      </c>
      <c r="L61" s="3">
        <f>K61*VLOOKUP(E61,프로그램표!$A$2:$E$7,4,0)*IF(G61="Y",1,0.5)</f>
        <v>210000</v>
      </c>
      <c r="M61" s="2" t="str">
        <f t="shared" si="1"/>
        <v>우선</v>
      </c>
    </row>
    <row r="62" spans="1:13" ht="15.35" x14ac:dyDescent="0.6">
      <c r="A62" s="2">
        <v>61</v>
      </c>
      <c r="B62" s="2" t="s">
        <v>159</v>
      </c>
      <c r="C62" s="2" t="s">
        <v>160</v>
      </c>
      <c r="D62" s="2" t="s">
        <v>87</v>
      </c>
      <c r="E62" s="2" t="s">
        <v>41</v>
      </c>
      <c r="F62" s="2" t="s">
        <v>17</v>
      </c>
      <c r="G62" s="2" t="s">
        <v>26</v>
      </c>
      <c r="H62" s="2">
        <v>11</v>
      </c>
      <c r="I62" s="2" t="str">
        <f>VLOOKUP(D62,부서코드표!$A$2:$C$11,2,0)</f>
        <v>재무</v>
      </c>
      <c r="J62" s="2" t="str">
        <f>VLOOKUP(E62,프로그램표!$A$2:$E$7,2,0)</f>
        <v>AI 데이터 분석 기초</v>
      </c>
      <c r="K62" s="2">
        <f>VLOOKUP(E62,프로그램표!$A$2:$E$7,3,0)</f>
        <v>10</v>
      </c>
      <c r="L62" s="3">
        <f>K62*VLOOKUP(E62,프로그램표!$A$2:$E$7,4,0)*IF(G62="Y",1,0.5)</f>
        <v>75000</v>
      </c>
      <c r="M62" s="2" t="str">
        <f t="shared" si="1"/>
        <v>일반</v>
      </c>
    </row>
    <row r="63" spans="1:13" ht="15.35" x14ac:dyDescent="0.6">
      <c r="A63" s="2">
        <v>62</v>
      </c>
      <c r="B63" s="2" t="s">
        <v>161</v>
      </c>
      <c r="C63" s="2" t="s">
        <v>162</v>
      </c>
      <c r="D63" s="2" t="s">
        <v>29</v>
      </c>
      <c r="E63" s="2" t="s">
        <v>81</v>
      </c>
      <c r="F63" s="2" t="s">
        <v>42</v>
      </c>
      <c r="G63" s="2" t="s">
        <v>18</v>
      </c>
      <c r="H63" s="2">
        <v>0</v>
      </c>
      <c r="I63" s="2" t="str">
        <f>VLOOKUP(D63,부서코드표!$A$2:$C$11,2,0)</f>
        <v>디지털교육</v>
      </c>
      <c r="J63" s="2" t="str">
        <f>VLOOKUP(E63,프로그램표!$A$2:$E$7,2,0)</f>
        <v>AI 고객응대 실무</v>
      </c>
      <c r="K63" s="2">
        <f>VLOOKUP(E63,프로그램표!$A$2:$E$7,3,0)</f>
        <v>6</v>
      </c>
      <c r="L63" s="3">
        <f>K63*VLOOKUP(E63,프로그램표!$A$2:$E$7,4,0)*IF(G63="Y",1,0.5)</f>
        <v>72000</v>
      </c>
      <c r="M63" s="2" t="str">
        <f t="shared" si="1"/>
        <v>우선</v>
      </c>
    </row>
    <row r="64" spans="1:13" ht="15.35" x14ac:dyDescent="0.6">
      <c r="A64" s="2">
        <v>63</v>
      </c>
      <c r="B64" s="2" t="s">
        <v>163</v>
      </c>
      <c r="C64" s="2" t="s">
        <v>164</v>
      </c>
      <c r="D64" s="2" t="s">
        <v>51</v>
      </c>
      <c r="E64" s="2" t="s">
        <v>16</v>
      </c>
      <c r="F64" s="2" t="s">
        <v>30</v>
      </c>
      <c r="G64" s="2" t="s">
        <v>18</v>
      </c>
      <c r="H64" s="2">
        <v>20</v>
      </c>
      <c r="I64" s="2" t="str">
        <f>VLOOKUP(D64,부서코드표!$A$2:$C$11,2,0)</f>
        <v>제작</v>
      </c>
      <c r="J64" s="2" t="str">
        <f>VLOOKUP(E64,프로그램표!$A$2:$E$7,2,0)</f>
        <v>AI 업무 기본</v>
      </c>
      <c r="K64" s="2">
        <f>VLOOKUP(E64,프로그램표!$A$2:$E$7,3,0)</f>
        <v>14</v>
      </c>
      <c r="L64" s="3">
        <f>K64*VLOOKUP(E64,프로그램표!$A$2:$E$7,4,0)*IF(G64="Y",1,0.5)</f>
        <v>210000</v>
      </c>
      <c r="M64" s="2" t="str">
        <f t="shared" si="1"/>
        <v>일반</v>
      </c>
    </row>
    <row r="65" spans="1:13" ht="15.35" x14ac:dyDescent="0.6">
      <c r="A65" s="2">
        <v>64</v>
      </c>
      <c r="B65" s="2" t="s">
        <v>165</v>
      </c>
      <c r="C65" s="2" t="s">
        <v>166</v>
      </c>
      <c r="D65" s="2" t="s">
        <v>87</v>
      </c>
      <c r="E65" s="2" t="s">
        <v>16</v>
      </c>
      <c r="F65" s="2" t="s">
        <v>23</v>
      </c>
      <c r="G65" s="2" t="s">
        <v>26</v>
      </c>
      <c r="H65" s="2">
        <v>23</v>
      </c>
      <c r="I65" s="2" t="str">
        <f>VLOOKUP(D65,부서코드표!$A$2:$C$11,2,0)</f>
        <v>재무</v>
      </c>
      <c r="J65" s="2" t="str">
        <f>VLOOKUP(E65,프로그램표!$A$2:$E$7,2,0)</f>
        <v>AI 업무 기본</v>
      </c>
      <c r="K65" s="2">
        <f>VLOOKUP(E65,프로그램표!$A$2:$E$7,3,0)</f>
        <v>14</v>
      </c>
      <c r="L65" s="3">
        <f>K65*VLOOKUP(E65,프로그램표!$A$2:$E$7,4,0)*IF(G65="Y",1,0.5)</f>
        <v>105000</v>
      </c>
      <c r="M65" s="2" t="str">
        <f t="shared" si="1"/>
        <v>일반</v>
      </c>
    </row>
    <row r="66" spans="1:13" ht="15.35" x14ac:dyDescent="0.6">
      <c r="A66" s="2">
        <v>65</v>
      </c>
      <c r="B66" s="2" t="s">
        <v>167</v>
      </c>
      <c r="C66" s="2" t="s">
        <v>168</v>
      </c>
      <c r="D66" s="2" t="s">
        <v>45</v>
      </c>
      <c r="E66" s="2" t="s">
        <v>41</v>
      </c>
      <c r="F66" s="2" t="s">
        <v>17</v>
      </c>
      <c r="G66" s="2" t="s">
        <v>18</v>
      </c>
      <c r="H66" s="2">
        <v>31</v>
      </c>
      <c r="I66" s="2" t="str">
        <f>VLOOKUP(D66,부서코드표!$A$2:$C$11,2,0)</f>
        <v>인사</v>
      </c>
      <c r="J66" s="2" t="str">
        <f>VLOOKUP(E66,프로그램표!$A$2:$E$7,2,0)</f>
        <v>AI 데이터 분석 기초</v>
      </c>
      <c r="K66" s="2">
        <f>VLOOKUP(E66,프로그램표!$A$2:$E$7,3,0)</f>
        <v>10</v>
      </c>
      <c r="L66" s="3">
        <f>K66*VLOOKUP(E66,프로그램표!$A$2:$E$7,4,0)*IF(G66="Y",1,0.5)</f>
        <v>150000</v>
      </c>
      <c r="M66" s="2" t="str">
        <f t="shared" ref="M66:M97" si="2">IF(AND(G66="Y",H66&lt;20),"우선","일반")</f>
        <v>일반</v>
      </c>
    </row>
    <row r="67" spans="1:13" ht="15.35" x14ac:dyDescent="0.6">
      <c r="A67" s="2">
        <v>66</v>
      </c>
      <c r="B67" s="2" t="s">
        <v>169</v>
      </c>
      <c r="C67" s="2" t="s">
        <v>170</v>
      </c>
      <c r="D67" s="2" t="s">
        <v>45</v>
      </c>
      <c r="E67" s="2" t="s">
        <v>41</v>
      </c>
      <c r="F67" s="2" t="s">
        <v>48</v>
      </c>
      <c r="G67" s="2" t="s">
        <v>26</v>
      </c>
      <c r="H67" s="2">
        <v>17</v>
      </c>
      <c r="I67" s="2" t="str">
        <f>VLOOKUP(D67,부서코드표!$A$2:$C$11,2,0)</f>
        <v>인사</v>
      </c>
      <c r="J67" s="2" t="str">
        <f>VLOOKUP(E67,프로그램표!$A$2:$E$7,2,0)</f>
        <v>AI 데이터 분석 기초</v>
      </c>
      <c r="K67" s="2">
        <f>VLOOKUP(E67,프로그램표!$A$2:$E$7,3,0)</f>
        <v>10</v>
      </c>
      <c r="L67" s="3">
        <f>K67*VLOOKUP(E67,프로그램표!$A$2:$E$7,4,0)*IF(G67="Y",1,0.5)</f>
        <v>75000</v>
      </c>
      <c r="M67" s="2" t="str">
        <f t="shared" si="2"/>
        <v>일반</v>
      </c>
    </row>
    <row r="68" spans="1:13" ht="15.35" x14ac:dyDescent="0.6">
      <c r="A68" s="2">
        <v>67</v>
      </c>
      <c r="B68" s="2" t="s">
        <v>171</v>
      </c>
      <c r="C68" s="2" t="s">
        <v>172</v>
      </c>
      <c r="D68" s="2" t="s">
        <v>33</v>
      </c>
      <c r="E68" s="2" t="s">
        <v>22</v>
      </c>
      <c r="F68" s="2" t="s">
        <v>48</v>
      </c>
      <c r="G68" s="2" t="s">
        <v>18</v>
      </c>
      <c r="H68" s="2">
        <v>35</v>
      </c>
      <c r="I68" s="2" t="str">
        <f>VLOOKUP(D68,부서코드표!$A$2:$C$11,2,0)</f>
        <v>물류</v>
      </c>
      <c r="J68" s="2" t="str">
        <f>VLOOKUP(E68,프로그램표!$A$2:$E$7,2,0)</f>
        <v>AI 사내 보고서 작성</v>
      </c>
      <c r="K68" s="2">
        <f>VLOOKUP(E68,프로그램표!$A$2:$E$7,3,0)</f>
        <v>7</v>
      </c>
      <c r="L68" s="3">
        <f>K68*VLOOKUP(E68,프로그램표!$A$2:$E$7,4,0)*IF(G68="Y",1,0.5)</f>
        <v>84000</v>
      </c>
      <c r="M68" s="2" t="str">
        <f t="shared" si="2"/>
        <v>일반</v>
      </c>
    </row>
    <row r="69" spans="1:13" ht="15.35" x14ac:dyDescent="0.6">
      <c r="A69" s="2">
        <v>68</v>
      </c>
      <c r="B69" s="2" t="s">
        <v>173</v>
      </c>
      <c r="C69" s="2" t="s">
        <v>174</v>
      </c>
      <c r="D69" s="2" t="s">
        <v>45</v>
      </c>
      <c r="E69" s="2" t="s">
        <v>81</v>
      </c>
      <c r="F69" s="2" t="s">
        <v>30</v>
      </c>
      <c r="G69" s="2" t="s">
        <v>26</v>
      </c>
      <c r="H69" s="2">
        <v>9</v>
      </c>
      <c r="I69" s="2" t="str">
        <f>VLOOKUP(D69,부서코드표!$A$2:$C$11,2,0)</f>
        <v>인사</v>
      </c>
      <c r="J69" s="2" t="str">
        <f>VLOOKUP(E69,프로그램표!$A$2:$E$7,2,0)</f>
        <v>AI 고객응대 실무</v>
      </c>
      <c r="K69" s="2">
        <f>VLOOKUP(E69,프로그램표!$A$2:$E$7,3,0)</f>
        <v>6</v>
      </c>
      <c r="L69" s="3">
        <f>K69*VLOOKUP(E69,프로그램표!$A$2:$E$7,4,0)*IF(G69="Y",1,0.5)</f>
        <v>36000</v>
      </c>
      <c r="M69" s="2" t="str">
        <f t="shared" si="2"/>
        <v>일반</v>
      </c>
    </row>
    <row r="70" spans="1:13" ht="15.35" x14ac:dyDescent="0.6">
      <c r="A70" s="2">
        <v>69</v>
      </c>
      <c r="B70" s="2" t="s">
        <v>175</v>
      </c>
      <c r="C70" s="2" t="s">
        <v>176</v>
      </c>
      <c r="D70" s="2" t="s">
        <v>84</v>
      </c>
      <c r="E70" s="2" t="s">
        <v>16</v>
      </c>
      <c r="F70" s="2" t="s">
        <v>94</v>
      </c>
      <c r="G70" s="2" t="s">
        <v>18</v>
      </c>
      <c r="H70" s="2">
        <v>9</v>
      </c>
      <c r="I70" s="2" t="str">
        <f>VLOOKUP(D70,부서코드표!$A$2:$C$11,2,0)</f>
        <v>고객지원</v>
      </c>
      <c r="J70" s="2" t="str">
        <f>VLOOKUP(E70,프로그램표!$A$2:$E$7,2,0)</f>
        <v>AI 업무 기본</v>
      </c>
      <c r="K70" s="2">
        <f>VLOOKUP(E70,프로그램표!$A$2:$E$7,3,0)</f>
        <v>14</v>
      </c>
      <c r="L70" s="3">
        <f>K70*VLOOKUP(E70,프로그램표!$A$2:$E$7,4,0)*IF(G70="Y",1,0.5)</f>
        <v>210000</v>
      </c>
      <c r="M70" s="2" t="str">
        <f t="shared" si="2"/>
        <v>우선</v>
      </c>
    </row>
    <row r="71" spans="1:13" ht="15.35" x14ac:dyDescent="0.6">
      <c r="A71" s="2">
        <v>70</v>
      </c>
      <c r="B71" s="2" t="s">
        <v>177</v>
      </c>
      <c r="C71" s="2" t="s">
        <v>178</v>
      </c>
      <c r="D71" s="2" t="s">
        <v>62</v>
      </c>
      <c r="E71" s="2" t="s">
        <v>34</v>
      </c>
      <c r="F71" s="2" t="s">
        <v>23</v>
      </c>
      <c r="G71" s="2" t="s">
        <v>26</v>
      </c>
      <c r="H71" s="2">
        <v>24</v>
      </c>
      <c r="I71" s="2" t="str">
        <f>VLOOKUP(D71,부서코드표!$A$2:$C$11,2,0)</f>
        <v>디자인</v>
      </c>
      <c r="J71" s="2" t="str">
        <f>VLOOKUP(E71,프로그램표!$A$2:$E$7,2,0)</f>
        <v>AI 제작·운영 업무</v>
      </c>
      <c r="K71" s="2">
        <f>VLOOKUP(E71,프로그램표!$A$2:$E$7,3,0)</f>
        <v>12</v>
      </c>
      <c r="L71" s="3">
        <f>K71*VLOOKUP(E71,프로그램표!$A$2:$E$7,4,0)*IF(G71="Y",1,0.5)</f>
        <v>90000</v>
      </c>
      <c r="M71" s="2" t="str">
        <f t="shared" si="2"/>
        <v>일반</v>
      </c>
    </row>
    <row r="72" spans="1:13" ht="15.35" x14ac:dyDescent="0.6">
      <c r="A72" s="2">
        <v>71</v>
      </c>
      <c r="B72" s="2" t="s">
        <v>179</v>
      </c>
      <c r="C72" s="2" t="s">
        <v>180</v>
      </c>
      <c r="D72" s="2" t="s">
        <v>37</v>
      </c>
      <c r="E72" s="2" t="s">
        <v>22</v>
      </c>
      <c r="F72" s="2" t="s">
        <v>94</v>
      </c>
      <c r="G72" s="2" t="s">
        <v>26</v>
      </c>
      <c r="H72" s="2">
        <v>35</v>
      </c>
      <c r="I72" s="2" t="str">
        <f>VLOOKUP(D72,부서코드표!$A$2:$C$11,2,0)</f>
        <v>영업</v>
      </c>
      <c r="J72" s="2" t="str">
        <f>VLOOKUP(E72,프로그램표!$A$2:$E$7,2,0)</f>
        <v>AI 사내 보고서 작성</v>
      </c>
      <c r="K72" s="2">
        <f>VLOOKUP(E72,프로그램표!$A$2:$E$7,3,0)</f>
        <v>7</v>
      </c>
      <c r="L72" s="3">
        <f>K72*VLOOKUP(E72,프로그램표!$A$2:$E$7,4,0)*IF(G72="Y",1,0.5)</f>
        <v>42000</v>
      </c>
      <c r="M72" s="2" t="str">
        <f t="shared" si="2"/>
        <v>일반</v>
      </c>
    </row>
    <row r="73" spans="1:13" ht="15.35" x14ac:dyDescent="0.6">
      <c r="A73" s="2">
        <v>72</v>
      </c>
      <c r="B73" s="2" t="s">
        <v>181</v>
      </c>
      <c r="C73" s="2" t="s">
        <v>182</v>
      </c>
      <c r="D73" s="2" t="s">
        <v>37</v>
      </c>
      <c r="E73" s="2" t="s">
        <v>22</v>
      </c>
      <c r="F73" s="2" t="s">
        <v>54</v>
      </c>
      <c r="G73" s="2" t="s">
        <v>18</v>
      </c>
      <c r="H73" s="2">
        <v>3</v>
      </c>
      <c r="I73" s="2" t="str">
        <f>VLOOKUP(D73,부서코드표!$A$2:$C$11,2,0)</f>
        <v>영업</v>
      </c>
      <c r="J73" s="2" t="str">
        <f>VLOOKUP(E73,프로그램표!$A$2:$E$7,2,0)</f>
        <v>AI 사내 보고서 작성</v>
      </c>
      <c r="K73" s="2">
        <f>VLOOKUP(E73,프로그램표!$A$2:$E$7,3,0)</f>
        <v>7</v>
      </c>
      <c r="L73" s="3">
        <f>K73*VLOOKUP(E73,프로그램표!$A$2:$E$7,4,0)*IF(G73="Y",1,0.5)</f>
        <v>84000</v>
      </c>
      <c r="M73" s="2" t="str">
        <f t="shared" si="2"/>
        <v>우선</v>
      </c>
    </row>
    <row r="74" spans="1:13" ht="15.35" x14ac:dyDescent="0.6">
      <c r="A74" s="2">
        <v>73</v>
      </c>
      <c r="B74" s="2" t="s">
        <v>183</v>
      </c>
      <c r="C74" s="2" t="s">
        <v>184</v>
      </c>
      <c r="D74" s="2" t="s">
        <v>84</v>
      </c>
      <c r="E74" s="2" t="s">
        <v>16</v>
      </c>
      <c r="F74" s="2" t="s">
        <v>42</v>
      </c>
      <c r="G74" s="2" t="s">
        <v>26</v>
      </c>
      <c r="H74" s="2">
        <v>0</v>
      </c>
      <c r="I74" s="2" t="str">
        <f>VLOOKUP(D74,부서코드표!$A$2:$C$11,2,0)</f>
        <v>고객지원</v>
      </c>
      <c r="J74" s="2" t="str">
        <f>VLOOKUP(E74,프로그램표!$A$2:$E$7,2,0)</f>
        <v>AI 업무 기본</v>
      </c>
      <c r="K74" s="2">
        <f>VLOOKUP(E74,프로그램표!$A$2:$E$7,3,0)</f>
        <v>14</v>
      </c>
      <c r="L74" s="3">
        <f>K74*VLOOKUP(E74,프로그램표!$A$2:$E$7,4,0)*IF(G74="Y",1,0.5)</f>
        <v>105000</v>
      </c>
      <c r="M74" s="2" t="str">
        <f t="shared" si="2"/>
        <v>일반</v>
      </c>
    </row>
    <row r="75" spans="1:13" ht="15.35" x14ac:dyDescent="0.6">
      <c r="A75" s="2">
        <v>74</v>
      </c>
      <c r="B75" s="2" t="s">
        <v>185</v>
      </c>
      <c r="C75" s="2" t="s">
        <v>186</v>
      </c>
      <c r="D75" s="2" t="s">
        <v>15</v>
      </c>
      <c r="E75" s="2" t="s">
        <v>81</v>
      </c>
      <c r="F75" s="2" t="s">
        <v>42</v>
      </c>
      <c r="G75" s="2" t="s">
        <v>18</v>
      </c>
      <c r="H75" s="2">
        <v>2</v>
      </c>
      <c r="I75" s="2" t="str">
        <f>VLOOKUP(D75,부서코드표!$A$2:$C$11,2,0)</f>
        <v>마케팅</v>
      </c>
      <c r="J75" s="2" t="str">
        <f>VLOOKUP(E75,프로그램표!$A$2:$E$7,2,0)</f>
        <v>AI 고객응대 실무</v>
      </c>
      <c r="K75" s="2">
        <f>VLOOKUP(E75,프로그램표!$A$2:$E$7,3,0)</f>
        <v>6</v>
      </c>
      <c r="L75" s="3">
        <f>K75*VLOOKUP(E75,프로그램표!$A$2:$E$7,4,0)*IF(G75="Y",1,0.5)</f>
        <v>72000</v>
      </c>
      <c r="M75" s="2" t="str">
        <f t="shared" si="2"/>
        <v>우선</v>
      </c>
    </row>
    <row r="76" spans="1:13" ht="15.35" x14ac:dyDescent="0.6">
      <c r="A76" s="2">
        <v>75</v>
      </c>
      <c r="B76" s="2" t="s">
        <v>187</v>
      </c>
      <c r="C76" s="2" t="s">
        <v>188</v>
      </c>
      <c r="D76" s="2" t="s">
        <v>37</v>
      </c>
      <c r="E76" s="2" t="s">
        <v>38</v>
      </c>
      <c r="F76" s="2" t="s">
        <v>94</v>
      </c>
      <c r="G76" s="2" t="s">
        <v>18</v>
      </c>
      <c r="H76" s="2">
        <v>0</v>
      </c>
      <c r="I76" s="2" t="str">
        <f>VLOOKUP(D76,부서코드표!$A$2:$C$11,2,0)</f>
        <v>영업</v>
      </c>
      <c r="J76" s="2" t="str">
        <f>VLOOKUP(E76,프로그램표!$A$2:$E$7,2,0)</f>
        <v>AI 교육콘텐츠 검수</v>
      </c>
      <c r="K76" s="2">
        <f>VLOOKUP(E76,프로그램표!$A$2:$E$7,3,0)</f>
        <v>4</v>
      </c>
      <c r="L76" s="3">
        <f>K76*VLOOKUP(E76,프로그램표!$A$2:$E$7,4,0)*IF(G76="Y",1,0.5)</f>
        <v>40000</v>
      </c>
      <c r="M76" s="2" t="str">
        <f t="shared" si="2"/>
        <v>우선</v>
      </c>
    </row>
    <row r="77" spans="1:13" ht="15.35" x14ac:dyDescent="0.6">
      <c r="A77" s="2">
        <v>76</v>
      </c>
      <c r="B77" s="2" t="s">
        <v>189</v>
      </c>
      <c r="C77" s="2" t="s">
        <v>190</v>
      </c>
      <c r="D77" s="2" t="s">
        <v>87</v>
      </c>
      <c r="E77" s="2" t="s">
        <v>34</v>
      </c>
      <c r="F77" s="2" t="s">
        <v>30</v>
      </c>
      <c r="G77" s="2" t="s">
        <v>26</v>
      </c>
      <c r="H77" s="2">
        <v>0</v>
      </c>
      <c r="I77" s="2" t="str">
        <f>VLOOKUP(D77,부서코드표!$A$2:$C$11,2,0)</f>
        <v>재무</v>
      </c>
      <c r="J77" s="2" t="str">
        <f>VLOOKUP(E77,프로그램표!$A$2:$E$7,2,0)</f>
        <v>AI 제작·운영 업무</v>
      </c>
      <c r="K77" s="2">
        <f>VLOOKUP(E77,프로그램표!$A$2:$E$7,3,0)</f>
        <v>12</v>
      </c>
      <c r="L77" s="3">
        <f>K77*VLOOKUP(E77,프로그램표!$A$2:$E$7,4,0)*IF(G77="Y",1,0.5)</f>
        <v>90000</v>
      </c>
      <c r="M77" s="2" t="str">
        <f t="shared" si="2"/>
        <v>일반</v>
      </c>
    </row>
    <row r="78" spans="1:13" ht="15.35" x14ac:dyDescent="0.6">
      <c r="A78" s="2">
        <v>77</v>
      </c>
      <c r="B78" s="2" t="s">
        <v>191</v>
      </c>
      <c r="C78" s="2" t="s">
        <v>192</v>
      </c>
      <c r="D78" s="2" t="s">
        <v>29</v>
      </c>
      <c r="E78" s="2" t="s">
        <v>81</v>
      </c>
      <c r="F78" s="2" t="s">
        <v>59</v>
      </c>
      <c r="G78" s="2" t="s">
        <v>18</v>
      </c>
      <c r="H78" s="2">
        <v>21</v>
      </c>
      <c r="I78" s="2" t="str">
        <f>VLOOKUP(D78,부서코드표!$A$2:$C$11,2,0)</f>
        <v>디지털교육</v>
      </c>
      <c r="J78" s="2" t="str">
        <f>VLOOKUP(E78,프로그램표!$A$2:$E$7,2,0)</f>
        <v>AI 고객응대 실무</v>
      </c>
      <c r="K78" s="2">
        <f>VLOOKUP(E78,프로그램표!$A$2:$E$7,3,0)</f>
        <v>6</v>
      </c>
      <c r="L78" s="3">
        <f>K78*VLOOKUP(E78,프로그램표!$A$2:$E$7,4,0)*IF(G78="Y",1,0.5)</f>
        <v>72000</v>
      </c>
      <c r="M78" s="2" t="str">
        <f t="shared" si="2"/>
        <v>일반</v>
      </c>
    </row>
    <row r="79" spans="1:13" ht="15.35" x14ac:dyDescent="0.6">
      <c r="A79" s="2">
        <v>78</v>
      </c>
      <c r="B79" s="2" t="s">
        <v>193</v>
      </c>
      <c r="C79" s="2" t="s">
        <v>194</v>
      </c>
      <c r="D79" s="2" t="s">
        <v>51</v>
      </c>
      <c r="E79" s="2" t="s">
        <v>41</v>
      </c>
      <c r="F79" s="2" t="s">
        <v>30</v>
      </c>
      <c r="G79" s="2" t="s">
        <v>18</v>
      </c>
      <c r="H79" s="2">
        <v>36</v>
      </c>
      <c r="I79" s="2" t="str">
        <f>VLOOKUP(D79,부서코드표!$A$2:$C$11,2,0)</f>
        <v>제작</v>
      </c>
      <c r="J79" s="2" t="str">
        <f>VLOOKUP(E79,프로그램표!$A$2:$E$7,2,0)</f>
        <v>AI 데이터 분석 기초</v>
      </c>
      <c r="K79" s="2">
        <f>VLOOKUP(E79,프로그램표!$A$2:$E$7,3,0)</f>
        <v>10</v>
      </c>
      <c r="L79" s="3">
        <f>K79*VLOOKUP(E79,프로그램표!$A$2:$E$7,4,0)*IF(G79="Y",1,0.5)</f>
        <v>150000</v>
      </c>
      <c r="M79" s="2" t="str">
        <f t="shared" si="2"/>
        <v>일반</v>
      </c>
    </row>
    <row r="80" spans="1:13" ht="15.35" x14ac:dyDescent="0.6">
      <c r="A80" s="2">
        <v>79</v>
      </c>
      <c r="B80" s="2" t="s">
        <v>195</v>
      </c>
      <c r="C80" s="2" t="s">
        <v>196</v>
      </c>
      <c r="D80" s="2" t="s">
        <v>29</v>
      </c>
      <c r="E80" s="2" t="s">
        <v>34</v>
      </c>
      <c r="F80" s="2" t="s">
        <v>59</v>
      </c>
      <c r="G80" s="2" t="s">
        <v>18</v>
      </c>
      <c r="H80" s="2">
        <v>0</v>
      </c>
      <c r="I80" s="2" t="str">
        <f>VLOOKUP(D80,부서코드표!$A$2:$C$11,2,0)</f>
        <v>디지털교육</v>
      </c>
      <c r="J80" s="2" t="str">
        <f>VLOOKUP(E80,프로그램표!$A$2:$E$7,2,0)</f>
        <v>AI 제작·운영 업무</v>
      </c>
      <c r="K80" s="2">
        <f>VLOOKUP(E80,프로그램표!$A$2:$E$7,3,0)</f>
        <v>12</v>
      </c>
      <c r="L80" s="3">
        <f>K80*VLOOKUP(E80,프로그램표!$A$2:$E$7,4,0)*IF(G80="Y",1,0.5)</f>
        <v>180000</v>
      </c>
      <c r="M80" s="2" t="str">
        <f t="shared" si="2"/>
        <v>우선</v>
      </c>
    </row>
    <row r="81" spans="1:13" ht="15.35" x14ac:dyDescent="0.6">
      <c r="A81" s="2">
        <v>80</v>
      </c>
      <c r="B81" s="2" t="s">
        <v>197</v>
      </c>
      <c r="C81" s="2" t="s">
        <v>198</v>
      </c>
      <c r="D81" s="2" t="s">
        <v>29</v>
      </c>
      <c r="E81" s="2" t="s">
        <v>41</v>
      </c>
      <c r="F81" s="2" t="s">
        <v>59</v>
      </c>
      <c r="G81" s="2" t="s">
        <v>26</v>
      </c>
      <c r="H81" s="2">
        <v>19</v>
      </c>
      <c r="I81" s="2" t="str">
        <f>VLOOKUP(D81,부서코드표!$A$2:$C$11,2,0)</f>
        <v>디지털교육</v>
      </c>
      <c r="J81" s="2" t="str">
        <f>VLOOKUP(E81,프로그램표!$A$2:$E$7,2,0)</f>
        <v>AI 데이터 분석 기초</v>
      </c>
      <c r="K81" s="2">
        <f>VLOOKUP(E81,프로그램표!$A$2:$E$7,3,0)</f>
        <v>10</v>
      </c>
      <c r="L81" s="3">
        <f>K81*VLOOKUP(E81,프로그램표!$A$2:$E$7,4,0)*IF(G81="Y",1,0.5)</f>
        <v>75000</v>
      </c>
      <c r="M81" s="2" t="str">
        <f t="shared" si="2"/>
        <v>일반</v>
      </c>
    </row>
    <row r="82" spans="1:13" ht="15.35" x14ac:dyDescent="0.6">
      <c r="A82" s="2">
        <v>81</v>
      </c>
      <c r="B82" s="2" t="s">
        <v>199</v>
      </c>
      <c r="C82" s="2" t="s">
        <v>200</v>
      </c>
      <c r="D82" s="2" t="s">
        <v>15</v>
      </c>
      <c r="E82" s="2" t="s">
        <v>16</v>
      </c>
      <c r="F82" s="2" t="s">
        <v>23</v>
      </c>
      <c r="G82" s="2" t="s">
        <v>26</v>
      </c>
      <c r="H82" s="2">
        <v>6</v>
      </c>
      <c r="I82" s="2" t="str">
        <f>VLOOKUP(D82,부서코드표!$A$2:$C$11,2,0)</f>
        <v>마케팅</v>
      </c>
      <c r="J82" s="2" t="str">
        <f>VLOOKUP(E82,프로그램표!$A$2:$E$7,2,0)</f>
        <v>AI 업무 기본</v>
      </c>
      <c r="K82" s="2">
        <f>VLOOKUP(E82,프로그램표!$A$2:$E$7,3,0)</f>
        <v>14</v>
      </c>
      <c r="L82" s="3">
        <f>K82*VLOOKUP(E82,프로그램표!$A$2:$E$7,4,0)*IF(G82="Y",1,0.5)</f>
        <v>105000</v>
      </c>
      <c r="M82" s="2" t="str">
        <f t="shared" si="2"/>
        <v>일반</v>
      </c>
    </row>
    <row r="83" spans="1:13" ht="15.35" x14ac:dyDescent="0.6">
      <c r="A83" s="2">
        <v>82</v>
      </c>
      <c r="B83" s="2" t="s">
        <v>201</v>
      </c>
      <c r="C83" s="2" t="s">
        <v>202</v>
      </c>
      <c r="D83" s="2" t="s">
        <v>37</v>
      </c>
      <c r="E83" s="2" t="s">
        <v>81</v>
      </c>
      <c r="F83" s="2" t="s">
        <v>17</v>
      </c>
      <c r="G83" s="2" t="s">
        <v>26</v>
      </c>
      <c r="H83" s="2">
        <v>37</v>
      </c>
      <c r="I83" s="2" t="str">
        <f>VLOOKUP(D83,부서코드표!$A$2:$C$11,2,0)</f>
        <v>영업</v>
      </c>
      <c r="J83" s="2" t="str">
        <f>VLOOKUP(E83,프로그램표!$A$2:$E$7,2,0)</f>
        <v>AI 고객응대 실무</v>
      </c>
      <c r="K83" s="2">
        <f>VLOOKUP(E83,프로그램표!$A$2:$E$7,3,0)</f>
        <v>6</v>
      </c>
      <c r="L83" s="3">
        <f>K83*VLOOKUP(E83,프로그램표!$A$2:$E$7,4,0)*IF(G83="Y",1,0.5)</f>
        <v>36000</v>
      </c>
      <c r="M83" s="2" t="str">
        <f t="shared" si="2"/>
        <v>일반</v>
      </c>
    </row>
    <row r="84" spans="1:13" ht="15.35" x14ac:dyDescent="0.6">
      <c r="A84" s="2">
        <v>83</v>
      </c>
      <c r="B84" s="2" t="s">
        <v>203</v>
      </c>
      <c r="C84" s="2" t="s">
        <v>204</v>
      </c>
      <c r="D84" s="2" t="s">
        <v>45</v>
      </c>
      <c r="E84" s="2" t="s">
        <v>34</v>
      </c>
      <c r="F84" s="2" t="s">
        <v>59</v>
      </c>
      <c r="G84" s="2" t="s">
        <v>18</v>
      </c>
      <c r="H84" s="2">
        <v>9</v>
      </c>
      <c r="I84" s="2" t="str">
        <f>VLOOKUP(D84,부서코드표!$A$2:$C$11,2,0)</f>
        <v>인사</v>
      </c>
      <c r="J84" s="2" t="str">
        <f>VLOOKUP(E84,프로그램표!$A$2:$E$7,2,0)</f>
        <v>AI 제작·운영 업무</v>
      </c>
      <c r="K84" s="2">
        <f>VLOOKUP(E84,프로그램표!$A$2:$E$7,3,0)</f>
        <v>12</v>
      </c>
      <c r="L84" s="3">
        <f>K84*VLOOKUP(E84,프로그램표!$A$2:$E$7,4,0)*IF(G84="Y",1,0.5)</f>
        <v>180000</v>
      </c>
      <c r="M84" s="2" t="str">
        <f t="shared" si="2"/>
        <v>우선</v>
      </c>
    </row>
    <row r="85" spans="1:13" ht="15.35" x14ac:dyDescent="0.6">
      <c r="A85" s="2">
        <v>84</v>
      </c>
      <c r="B85" s="2" t="s">
        <v>205</v>
      </c>
      <c r="C85" s="2" t="s">
        <v>206</v>
      </c>
      <c r="D85" s="2" t="s">
        <v>21</v>
      </c>
      <c r="E85" s="2" t="s">
        <v>16</v>
      </c>
      <c r="F85" s="2" t="s">
        <v>94</v>
      </c>
      <c r="G85" s="2" t="s">
        <v>18</v>
      </c>
      <c r="H85" s="2">
        <v>3</v>
      </c>
      <c r="I85" s="2" t="str">
        <f>VLOOKUP(D85,부서코드표!$A$2:$C$11,2,0)</f>
        <v>편집·콘텐츠</v>
      </c>
      <c r="J85" s="2" t="str">
        <f>VLOOKUP(E85,프로그램표!$A$2:$E$7,2,0)</f>
        <v>AI 업무 기본</v>
      </c>
      <c r="K85" s="2">
        <f>VLOOKUP(E85,프로그램표!$A$2:$E$7,3,0)</f>
        <v>14</v>
      </c>
      <c r="L85" s="3">
        <f>K85*VLOOKUP(E85,프로그램표!$A$2:$E$7,4,0)*IF(G85="Y",1,0.5)</f>
        <v>210000</v>
      </c>
      <c r="M85" s="2" t="str">
        <f t="shared" si="2"/>
        <v>우선</v>
      </c>
    </row>
    <row r="86" spans="1:13" ht="15.35" x14ac:dyDescent="0.6">
      <c r="A86" s="2">
        <v>85</v>
      </c>
      <c r="B86" s="2" t="s">
        <v>207</v>
      </c>
      <c r="C86" s="2" t="s">
        <v>208</v>
      </c>
      <c r="D86" s="2" t="s">
        <v>51</v>
      </c>
      <c r="E86" s="2" t="s">
        <v>38</v>
      </c>
      <c r="F86" s="2" t="s">
        <v>59</v>
      </c>
      <c r="G86" s="2" t="s">
        <v>18</v>
      </c>
      <c r="H86" s="2">
        <v>23</v>
      </c>
      <c r="I86" s="2" t="str">
        <f>VLOOKUP(D86,부서코드표!$A$2:$C$11,2,0)</f>
        <v>제작</v>
      </c>
      <c r="J86" s="2" t="str">
        <f>VLOOKUP(E86,프로그램표!$A$2:$E$7,2,0)</f>
        <v>AI 교육콘텐츠 검수</v>
      </c>
      <c r="K86" s="2">
        <f>VLOOKUP(E86,프로그램표!$A$2:$E$7,3,0)</f>
        <v>4</v>
      </c>
      <c r="L86" s="3">
        <f>K86*VLOOKUP(E86,프로그램표!$A$2:$E$7,4,0)*IF(G86="Y",1,0.5)</f>
        <v>40000</v>
      </c>
      <c r="M86" s="2" t="str">
        <f t="shared" si="2"/>
        <v>일반</v>
      </c>
    </row>
    <row r="87" spans="1:13" ht="15.35" x14ac:dyDescent="0.6">
      <c r="A87" s="2">
        <v>86</v>
      </c>
      <c r="B87" s="2" t="s">
        <v>209</v>
      </c>
      <c r="C87" s="2" t="s">
        <v>210</v>
      </c>
      <c r="D87" s="2" t="s">
        <v>51</v>
      </c>
      <c r="E87" s="2" t="s">
        <v>16</v>
      </c>
      <c r="F87" s="2" t="s">
        <v>94</v>
      </c>
      <c r="G87" s="2" t="s">
        <v>26</v>
      </c>
      <c r="H87" s="2">
        <v>22</v>
      </c>
      <c r="I87" s="2" t="str">
        <f>VLOOKUP(D87,부서코드표!$A$2:$C$11,2,0)</f>
        <v>제작</v>
      </c>
      <c r="J87" s="2" t="str">
        <f>VLOOKUP(E87,프로그램표!$A$2:$E$7,2,0)</f>
        <v>AI 업무 기본</v>
      </c>
      <c r="K87" s="2">
        <f>VLOOKUP(E87,프로그램표!$A$2:$E$7,3,0)</f>
        <v>14</v>
      </c>
      <c r="L87" s="3">
        <f>K87*VLOOKUP(E87,프로그램표!$A$2:$E$7,4,0)*IF(G87="Y",1,0.5)</f>
        <v>105000</v>
      </c>
      <c r="M87" s="2" t="str">
        <f t="shared" si="2"/>
        <v>일반</v>
      </c>
    </row>
    <row r="88" spans="1:13" ht="15.35" x14ac:dyDescent="0.6">
      <c r="A88" s="2">
        <v>87</v>
      </c>
      <c r="B88" s="2" t="s">
        <v>211</v>
      </c>
      <c r="C88" s="2" t="s">
        <v>212</v>
      </c>
      <c r="D88" s="2" t="s">
        <v>87</v>
      </c>
      <c r="E88" s="2" t="s">
        <v>41</v>
      </c>
      <c r="F88" s="2" t="s">
        <v>30</v>
      </c>
      <c r="G88" s="2" t="s">
        <v>18</v>
      </c>
      <c r="H88" s="2">
        <v>7</v>
      </c>
      <c r="I88" s="2" t="str">
        <f>VLOOKUP(D88,부서코드표!$A$2:$C$11,2,0)</f>
        <v>재무</v>
      </c>
      <c r="J88" s="2" t="str">
        <f>VLOOKUP(E88,프로그램표!$A$2:$E$7,2,0)</f>
        <v>AI 데이터 분석 기초</v>
      </c>
      <c r="K88" s="2">
        <f>VLOOKUP(E88,프로그램표!$A$2:$E$7,3,0)</f>
        <v>10</v>
      </c>
      <c r="L88" s="3">
        <f>K88*VLOOKUP(E88,프로그램표!$A$2:$E$7,4,0)*IF(G88="Y",1,0.5)</f>
        <v>150000</v>
      </c>
      <c r="M88" s="2" t="str">
        <f t="shared" si="2"/>
        <v>우선</v>
      </c>
    </row>
    <row r="89" spans="1:13" ht="15.35" x14ac:dyDescent="0.6">
      <c r="A89" s="2">
        <v>88</v>
      </c>
      <c r="B89" s="2" t="s">
        <v>213</v>
      </c>
      <c r="C89" s="2" t="s">
        <v>214</v>
      </c>
      <c r="D89" s="2" t="s">
        <v>29</v>
      </c>
      <c r="E89" s="2" t="s">
        <v>81</v>
      </c>
      <c r="F89" s="2" t="s">
        <v>59</v>
      </c>
      <c r="G89" s="2" t="s">
        <v>18</v>
      </c>
      <c r="H89" s="2">
        <v>14</v>
      </c>
      <c r="I89" s="2" t="str">
        <f>VLOOKUP(D89,부서코드표!$A$2:$C$11,2,0)</f>
        <v>디지털교육</v>
      </c>
      <c r="J89" s="2" t="str">
        <f>VLOOKUP(E89,프로그램표!$A$2:$E$7,2,0)</f>
        <v>AI 고객응대 실무</v>
      </c>
      <c r="K89" s="2">
        <f>VLOOKUP(E89,프로그램표!$A$2:$E$7,3,0)</f>
        <v>6</v>
      </c>
      <c r="L89" s="3">
        <f>K89*VLOOKUP(E89,프로그램표!$A$2:$E$7,4,0)*IF(G89="Y",1,0.5)</f>
        <v>72000</v>
      </c>
      <c r="M89" s="2" t="str">
        <f t="shared" si="2"/>
        <v>우선</v>
      </c>
    </row>
    <row r="90" spans="1:13" ht="15.35" x14ac:dyDescent="0.6">
      <c r="A90" s="2">
        <v>89</v>
      </c>
      <c r="B90" s="2" t="s">
        <v>215</v>
      </c>
      <c r="C90" s="2" t="s">
        <v>216</v>
      </c>
      <c r="D90" s="2" t="s">
        <v>51</v>
      </c>
      <c r="E90" s="2" t="s">
        <v>22</v>
      </c>
      <c r="F90" s="2" t="s">
        <v>54</v>
      </c>
      <c r="G90" s="2" t="s">
        <v>18</v>
      </c>
      <c r="H90" s="2">
        <v>7</v>
      </c>
      <c r="I90" s="2" t="str">
        <f>VLOOKUP(D90,부서코드표!$A$2:$C$11,2,0)</f>
        <v>제작</v>
      </c>
      <c r="J90" s="2" t="str">
        <f>VLOOKUP(E90,프로그램표!$A$2:$E$7,2,0)</f>
        <v>AI 사내 보고서 작성</v>
      </c>
      <c r="K90" s="2">
        <f>VLOOKUP(E90,프로그램표!$A$2:$E$7,3,0)</f>
        <v>7</v>
      </c>
      <c r="L90" s="3">
        <f>K90*VLOOKUP(E90,프로그램표!$A$2:$E$7,4,0)*IF(G90="Y",1,0.5)</f>
        <v>84000</v>
      </c>
      <c r="M90" s="2" t="str">
        <f t="shared" si="2"/>
        <v>우선</v>
      </c>
    </row>
    <row r="91" spans="1:13" ht="15.35" x14ac:dyDescent="0.6">
      <c r="A91" s="2">
        <v>90</v>
      </c>
      <c r="B91" s="2" t="s">
        <v>217</v>
      </c>
      <c r="C91" s="2" t="s">
        <v>218</v>
      </c>
      <c r="D91" s="2" t="s">
        <v>29</v>
      </c>
      <c r="E91" s="2" t="s">
        <v>34</v>
      </c>
      <c r="F91" s="2" t="s">
        <v>30</v>
      </c>
      <c r="G91" s="2" t="s">
        <v>18</v>
      </c>
      <c r="H91" s="2">
        <v>12</v>
      </c>
      <c r="I91" s="2" t="str">
        <f>VLOOKUP(D91,부서코드표!$A$2:$C$11,2,0)</f>
        <v>디지털교육</v>
      </c>
      <c r="J91" s="2" t="str">
        <f>VLOOKUP(E91,프로그램표!$A$2:$E$7,2,0)</f>
        <v>AI 제작·운영 업무</v>
      </c>
      <c r="K91" s="2">
        <f>VLOOKUP(E91,프로그램표!$A$2:$E$7,3,0)</f>
        <v>12</v>
      </c>
      <c r="L91" s="3">
        <f>K91*VLOOKUP(E91,프로그램표!$A$2:$E$7,4,0)*IF(G91="Y",1,0.5)</f>
        <v>180000</v>
      </c>
      <c r="M91" s="2" t="str">
        <f t="shared" si="2"/>
        <v>우선</v>
      </c>
    </row>
    <row r="92" spans="1:13" ht="15.35" x14ac:dyDescent="0.6">
      <c r="A92" s="2">
        <v>91</v>
      </c>
      <c r="B92" s="2" t="s">
        <v>219</v>
      </c>
      <c r="C92" s="2" t="s">
        <v>220</v>
      </c>
      <c r="D92" s="2" t="s">
        <v>21</v>
      </c>
      <c r="E92" s="2" t="s">
        <v>22</v>
      </c>
      <c r="F92" s="2" t="s">
        <v>17</v>
      </c>
      <c r="G92" s="2" t="s">
        <v>18</v>
      </c>
      <c r="H92" s="2">
        <v>22</v>
      </c>
      <c r="I92" s="2" t="str">
        <f>VLOOKUP(D92,부서코드표!$A$2:$C$11,2,0)</f>
        <v>편집·콘텐츠</v>
      </c>
      <c r="J92" s="2" t="str">
        <f>VLOOKUP(E92,프로그램표!$A$2:$E$7,2,0)</f>
        <v>AI 사내 보고서 작성</v>
      </c>
      <c r="K92" s="2">
        <f>VLOOKUP(E92,프로그램표!$A$2:$E$7,3,0)</f>
        <v>7</v>
      </c>
      <c r="L92" s="3">
        <f>K92*VLOOKUP(E92,프로그램표!$A$2:$E$7,4,0)*IF(G92="Y",1,0.5)</f>
        <v>84000</v>
      </c>
      <c r="M92" s="2" t="str">
        <f t="shared" si="2"/>
        <v>일반</v>
      </c>
    </row>
    <row r="93" spans="1:13" ht="15.35" x14ac:dyDescent="0.6">
      <c r="A93" s="2">
        <v>92</v>
      </c>
      <c r="B93" s="2" t="s">
        <v>221</v>
      </c>
      <c r="C93" s="2" t="s">
        <v>222</v>
      </c>
      <c r="D93" s="2" t="s">
        <v>45</v>
      </c>
      <c r="E93" s="2" t="s">
        <v>41</v>
      </c>
      <c r="F93" s="2" t="s">
        <v>30</v>
      </c>
      <c r="G93" s="2" t="s">
        <v>18</v>
      </c>
      <c r="H93" s="2">
        <v>26</v>
      </c>
      <c r="I93" s="2" t="str">
        <f>VLOOKUP(D93,부서코드표!$A$2:$C$11,2,0)</f>
        <v>인사</v>
      </c>
      <c r="J93" s="2" t="str">
        <f>VLOOKUP(E93,프로그램표!$A$2:$E$7,2,0)</f>
        <v>AI 데이터 분석 기초</v>
      </c>
      <c r="K93" s="2">
        <f>VLOOKUP(E93,프로그램표!$A$2:$E$7,3,0)</f>
        <v>10</v>
      </c>
      <c r="L93" s="3">
        <f>K93*VLOOKUP(E93,프로그램표!$A$2:$E$7,4,0)*IF(G93="Y",1,0.5)</f>
        <v>150000</v>
      </c>
      <c r="M93" s="2" t="str">
        <f t="shared" si="2"/>
        <v>일반</v>
      </c>
    </row>
    <row r="94" spans="1:13" ht="15.35" x14ac:dyDescent="0.6">
      <c r="A94" s="2">
        <v>93</v>
      </c>
      <c r="B94" s="2" t="s">
        <v>223</v>
      </c>
      <c r="C94" s="2" t="s">
        <v>224</v>
      </c>
      <c r="D94" s="2" t="s">
        <v>29</v>
      </c>
      <c r="E94" s="2" t="s">
        <v>16</v>
      </c>
      <c r="F94" s="2" t="s">
        <v>30</v>
      </c>
      <c r="G94" s="2" t="s">
        <v>18</v>
      </c>
      <c r="H94" s="2">
        <v>16</v>
      </c>
      <c r="I94" s="2" t="str">
        <f>VLOOKUP(D94,부서코드표!$A$2:$C$11,2,0)</f>
        <v>디지털교육</v>
      </c>
      <c r="J94" s="2" t="str">
        <f>VLOOKUP(E94,프로그램표!$A$2:$E$7,2,0)</f>
        <v>AI 업무 기본</v>
      </c>
      <c r="K94" s="2">
        <f>VLOOKUP(E94,프로그램표!$A$2:$E$7,3,0)</f>
        <v>14</v>
      </c>
      <c r="L94" s="3">
        <f>K94*VLOOKUP(E94,프로그램표!$A$2:$E$7,4,0)*IF(G94="Y",1,0.5)</f>
        <v>210000</v>
      </c>
      <c r="M94" s="2" t="str">
        <f t="shared" si="2"/>
        <v>우선</v>
      </c>
    </row>
    <row r="95" spans="1:13" ht="15.35" x14ac:dyDescent="0.6">
      <c r="A95" s="2">
        <v>94</v>
      </c>
      <c r="B95" s="2" t="s">
        <v>225</v>
      </c>
      <c r="C95" s="2" t="s">
        <v>226</v>
      </c>
      <c r="D95" s="2" t="s">
        <v>21</v>
      </c>
      <c r="E95" s="2" t="s">
        <v>22</v>
      </c>
      <c r="F95" s="2" t="s">
        <v>54</v>
      </c>
      <c r="G95" s="2" t="s">
        <v>26</v>
      </c>
      <c r="H95" s="2">
        <v>0</v>
      </c>
      <c r="I95" s="2" t="str">
        <f>VLOOKUP(D95,부서코드표!$A$2:$C$11,2,0)</f>
        <v>편집·콘텐츠</v>
      </c>
      <c r="J95" s="2" t="str">
        <f>VLOOKUP(E95,프로그램표!$A$2:$E$7,2,0)</f>
        <v>AI 사내 보고서 작성</v>
      </c>
      <c r="K95" s="2">
        <f>VLOOKUP(E95,프로그램표!$A$2:$E$7,3,0)</f>
        <v>7</v>
      </c>
      <c r="L95" s="3">
        <f>K95*VLOOKUP(E95,프로그램표!$A$2:$E$7,4,0)*IF(G95="Y",1,0.5)</f>
        <v>42000</v>
      </c>
      <c r="M95" s="2" t="str">
        <f t="shared" si="2"/>
        <v>일반</v>
      </c>
    </row>
    <row r="96" spans="1:13" ht="15.35" x14ac:dyDescent="0.6">
      <c r="A96" s="2">
        <v>95</v>
      </c>
      <c r="B96" s="2" t="s">
        <v>227</v>
      </c>
      <c r="C96" s="2" t="s">
        <v>228</v>
      </c>
      <c r="D96" s="2" t="s">
        <v>51</v>
      </c>
      <c r="E96" s="2" t="s">
        <v>16</v>
      </c>
      <c r="F96" s="2" t="s">
        <v>48</v>
      </c>
      <c r="G96" s="2" t="s">
        <v>26</v>
      </c>
      <c r="H96" s="2">
        <v>15</v>
      </c>
      <c r="I96" s="2" t="str">
        <f>VLOOKUP(D96,부서코드표!$A$2:$C$11,2,0)</f>
        <v>제작</v>
      </c>
      <c r="J96" s="2" t="str">
        <f>VLOOKUP(E96,프로그램표!$A$2:$E$7,2,0)</f>
        <v>AI 업무 기본</v>
      </c>
      <c r="K96" s="2">
        <f>VLOOKUP(E96,프로그램표!$A$2:$E$7,3,0)</f>
        <v>14</v>
      </c>
      <c r="L96" s="3">
        <f>K96*VLOOKUP(E96,프로그램표!$A$2:$E$7,4,0)*IF(G96="Y",1,0.5)</f>
        <v>105000</v>
      </c>
      <c r="M96" s="2" t="str">
        <f t="shared" si="2"/>
        <v>일반</v>
      </c>
    </row>
    <row r="97" spans="1:13" ht="15.35" x14ac:dyDescent="0.6">
      <c r="A97" s="2">
        <v>96</v>
      </c>
      <c r="B97" s="2" t="s">
        <v>229</v>
      </c>
      <c r="C97" s="2" t="s">
        <v>230</v>
      </c>
      <c r="D97" s="2" t="s">
        <v>33</v>
      </c>
      <c r="E97" s="2" t="s">
        <v>16</v>
      </c>
      <c r="F97" s="2" t="s">
        <v>48</v>
      </c>
      <c r="G97" s="2" t="s">
        <v>18</v>
      </c>
      <c r="H97" s="2">
        <v>17</v>
      </c>
      <c r="I97" s="2" t="str">
        <f>VLOOKUP(D97,부서코드표!$A$2:$C$11,2,0)</f>
        <v>물류</v>
      </c>
      <c r="J97" s="2" t="str">
        <f>VLOOKUP(E97,프로그램표!$A$2:$E$7,2,0)</f>
        <v>AI 업무 기본</v>
      </c>
      <c r="K97" s="2">
        <f>VLOOKUP(E97,프로그램표!$A$2:$E$7,3,0)</f>
        <v>14</v>
      </c>
      <c r="L97" s="3">
        <f>K97*VLOOKUP(E97,프로그램표!$A$2:$E$7,4,0)*IF(G97="Y",1,0.5)</f>
        <v>210000</v>
      </c>
      <c r="M97" s="2" t="str">
        <f t="shared" si="2"/>
        <v>우선</v>
      </c>
    </row>
    <row r="98" spans="1:13" ht="15.35" x14ac:dyDescent="0.6">
      <c r="A98" s="2">
        <v>97</v>
      </c>
      <c r="B98" s="2" t="s">
        <v>231</v>
      </c>
      <c r="C98" s="2" t="s">
        <v>232</v>
      </c>
      <c r="D98" s="2" t="s">
        <v>87</v>
      </c>
      <c r="E98" s="2" t="s">
        <v>16</v>
      </c>
      <c r="F98" s="2" t="s">
        <v>54</v>
      </c>
      <c r="G98" s="2" t="s">
        <v>18</v>
      </c>
      <c r="H98" s="2">
        <v>19</v>
      </c>
      <c r="I98" s="2" t="str">
        <f>VLOOKUP(D98,부서코드표!$A$2:$C$11,2,0)</f>
        <v>재무</v>
      </c>
      <c r="J98" s="2" t="str">
        <f>VLOOKUP(E98,프로그램표!$A$2:$E$7,2,0)</f>
        <v>AI 업무 기본</v>
      </c>
      <c r="K98" s="2">
        <f>VLOOKUP(E98,프로그램표!$A$2:$E$7,3,0)</f>
        <v>14</v>
      </c>
      <c r="L98" s="3">
        <f>K98*VLOOKUP(E98,프로그램표!$A$2:$E$7,4,0)*IF(G98="Y",1,0.5)</f>
        <v>210000</v>
      </c>
      <c r="M98" s="2" t="str">
        <f t="shared" ref="M98:M129" si="3">IF(AND(G98="Y",H98&lt;20),"우선","일반")</f>
        <v>우선</v>
      </c>
    </row>
    <row r="99" spans="1:13" ht="15.35" x14ac:dyDescent="0.6">
      <c r="A99" s="2">
        <v>98</v>
      </c>
      <c r="B99" s="2" t="s">
        <v>233</v>
      </c>
      <c r="C99" s="2" t="s">
        <v>234</v>
      </c>
      <c r="D99" s="2" t="s">
        <v>21</v>
      </c>
      <c r="E99" s="2" t="s">
        <v>81</v>
      </c>
      <c r="F99" s="2" t="s">
        <v>42</v>
      </c>
      <c r="G99" s="2" t="s">
        <v>18</v>
      </c>
      <c r="H99" s="2">
        <v>4</v>
      </c>
      <c r="I99" s="2" t="str">
        <f>VLOOKUP(D99,부서코드표!$A$2:$C$11,2,0)</f>
        <v>편집·콘텐츠</v>
      </c>
      <c r="J99" s="2" t="str">
        <f>VLOOKUP(E99,프로그램표!$A$2:$E$7,2,0)</f>
        <v>AI 고객응대 실무</v>
      </c>
      <c r="K99" s="2">
        <f>VLOOKUP(E99,프로그램표!$A$2:$E$7,3,0)</f>
        <v>6</v>
      </c>
      <c r="L99" s="3">
        <f>K99*VLOOKUP(E99,프로그램표!$A$2:$E$7,4,0)*IF(G99="Y",1,0.5)</f>
        <v>72000</v>
      </c>
      <c r="M99" s="2" t="str">
        <f t="shared" si="3"/>
        <v>우선</v>
      </c>
    </row>
    <row r="100" spans="1:13" ht="15.35" x14ac:dyDescent="0.6">
      <c r="A100" s="2">
        <v>99</v>
      </c>
      <c r="B100" s="2" t="s">
        <v>235</v>
      </c>
      <c r="C100" s="2" t="s">
        <v>236</v>
      </c>
      <c r="D100" s="2" t="s">
        <v>45</v>
      </c>
      <c r="E100" s="2" t="s">
        <v>16</v>
      </c>
      <c r="F100" s="2" t="s">
        <v>54</v>
      </c>
      <c r="G100" s="2" t="s">
        <v>26</v>
      </c>
      <c r="H100" s="2">
        <v>9</v>
      </c>
      <c r="I100" s="2" t="str">
        <f>VLOOKUP(D100,부서코드표!$A$2:$C$11,2,0)</f>
        <v>인사</v>
      </c>
      <c r="J100" s="2" t="str">
        <f>VLOOKUP(E100,프로그램표!$A$2:$E$7,2,0)</f>
        <v>AI 업무 기본</v>
      </c>
      <c r="K100" s="2">
        <f>VLOOKUP(E100,프로그램표!$A$2:$E$7,3,0)</f>
        <v>14</v>
      </c>
      <c r="L100" s="3">
        <f>K100*VLOOKUP(E100,프로그램표!$A$2:$E$7,4,0)*IF(G100="Y",1,0.5)</f>
        <v>105000</v>
      </c>
      <c r="M100" s="2" t="str">
        <f t="shared" si="3"/>
        <v>일반</v>
      </c>
    </row>
    <row r="101" spans="1:13" ht="15.35" x14ac:dyDescent="0.6">
      <c r="A101" s="2">
        <v>100</v>
      </c>
      <c r="B101" s="2" t="s">
        <v>237</v>
      </c>
      <c r="C101" s="2" t="s">
        <v>238</v>
      </c>
      <c r="D101" s="2" t="s">
        <v>37</v>
      </c>
      <c r="E101" s="2" t="s">
        <v>34</v>
      </c>
      <c r="F101" s="2" t="s">
        <v>23</v>
      </c>
      <c r="G101" s="2" t="s">
        <v>18</v>
      </c>
      <c r="H101" s="2">
        <v>17</v>
      </c>
      <c r="I101" s="2" t="str">
        <f>VLOOKUP(D101,부서코드표!$A$2:$C$11,2,0)</f>
        <v>영업</v>
      </c>
      <c r="J101" s="2" t="str">
        <f>VLOOKUP(E101,프로그램표!$A$2:$E$7,2,0)</f>
        <v>AI 제작·운영 업무</v>
      </c>
      <c r="K101" s="2">
        <f>VLOOKUP(E101,프로그램표!$A$2:$E$7,3,0)</f>
        <v>12</v>
      </c>
      <c r="L101" s="3">
        <f>K101*VLOOKUP(E101,프로그램표!$A$2:$E$7,4,0)*IF(G101="Y",1,0.5)</f>
        <v>180000</v>
      </c>
      <c r="M101" s="2" t="str">
        <f t="shared" si="3"/>
        <v>우선</v>
      </c>
    </row>
    <row r="102" spans="1:13" ht="15.35" x14ac:dyDescent="0.6">
      <c r="A102" s="2">
        <v>101</v>
      </c>
      <c r="B102" s="2" t="s">
        <v>239</v>
      </c>
      <c r="C102" s="2" t="s">
        <v>240</v>
      </c>
      <c r="D102" s="2" t="s">
        <v>45</v>
      </c>
      <c r="E102" s="2" t="s">
        <v>16</v>
      </c>
      <c r="F102" s="2" t="s">
        <v>48</v>
      </c>
      <c r="G102" s="2" t="s">
        <v>18</v>
      </c>
      <c r="H102" s="2">
        <v>16</v>
      </c>
      <c r="I102" s="2" t="str">
        <f>VLOOKUP(D102,부서코드표!$A$2:$C$11,2,0)</f>
        <v>인사</v>
      </c>
      <c r="J102" s="2" t="str">
        <f>VLOOKUP(E102,프로그램표!$A$2:$E$7,2,0)</f>
        <v>AI 업무 기본</v>
      </c>
      <c r="K102" s="2">
        <f>VLOOKUP(E102,프로그램표!$A$2:$E$7,3,0)</f>
        <v>14</v>
      </c>
      <c r="L102" s="3">
        <f>K102*VLOOKUP(E102,프로그램표!$A$2:$E$7,4,0)*IF(G102="Y",1,0.5)</f>
        <v>210000</v>
      </c>
      <c r="M102" s="2" t="str">
        <f t="shared" si="3"/>
        <v>우선</v>
      </c>
    </row>
    <row r="103" spans="1:13" ht="15.35" x14ac:dyDescent="0.6">
      <c r="A103" s="2">
        <v>102</v>
      </c>
      <c r="B103" s="2" t="s">
        <v>241</v>
      </c>
      <c r="C103" s="2" t="s">
        <v>242</v>
      </c>
      <c r="D103" s="2" t="s">
        <v>15</v>
      </c>
      <c r="E103" s="2" t="s">
        <v>22</v>
      </c>
      <c r="F103" s="2" t="s">
        <v>42</v>
      </c>
      <c r="G103" s="2" t="s">
        <v>18</v>
      </c>
      <c r="H103" s="2">
        <v>21</v>
      </c>
      <c r="I103" s="2" t="str">
        <f>VLOOKUP(D103,부서코드표!$A$2:$C$11,2,0)</f>
        <v>마케팅</v>
      </c>
      <c r="J103" s="2" t="str">
        <f>VLOOKUP(E103,프로그램표!$A$2:$E$7,2,0)</f>
        <v>AI 사내 보고서 작성</v>
      </c>
      <c r="K103" s="2">
        <f>VLOOKUP(E103,프로그램표!$A$2:$E$7,3,0)</f>
        <v>7</v>
      </c>
      <c r="L103" s="3">
        <f>K103*VLOOKUP(E103,프로그램표!$A$2:$E$7,4,0)*IF(G103="Y",1,0.5)</f>
        <v>84000</v>
      </c>
      <c r="M103" s="2" t="str">
        <f t="shared" si="3"/>
        <v>일반</v>
      </c>
    </row>
    <row r="104" spans="1:13" ht="15.35" x14ac:dyDescent="0.6">
      <c r="A104" s="2">
        <v>103</v>
      </c>
      <c r="B104" s="2" t="s">
        <v>243</v>
      </c>
      <c r="C104" s="2" t="s">
        <v>244</v>
      </c>
      <c r="D104" s="2" t="s">
        <v>37</v>
      </c>
      <c r="E104" s="2" t="s">
        <v>22</v>
      </c>
      <c r="F104" s="2" t="s">
        <v>59</v>
      </c>
      <c r="G104" s="2" t="s">
        <v>26</v>
      </c>
      <c r="H104" s="2">
        <v>8</v>
      </c>
      <c r="I104" s="2" t="str">
        <f>VLOOKUP(D104,부서코드표!$A$2:$C$11,2,0)</f>
        <v>영업</v>
      </c>
      <c r="J104" s="2" t="str">
        <f>VLOOKUP(E104,프로그램표!$A$2:$E$7,2,0)</f>
        <v>AI 사내 보고서 작성</v>
      </c>
      <c r="K104" s="2">
        <f>VLOOKUP(E104,프로그램표!$A$2:$E$7,3,0)</f>
        <v>7</v>
      </c>
      <c r="L104" s="3">
        <f>K104*VLOOKUP(E104,프로그램표!$A$2:$E$7,4,0)*IF(G104="Y",1,0.5)</f>
        <v>42000</v>
      </c>
      <c r="M104" s="2" t="str">
        <f t="shared" si="3"/>
        <v>일반</v>
      </c>
    </row>
    <row r="105" spans="1:13" ht="15.35" x14ac:dyDescent="0.6">
      <c r="A105" s="2">
        <v>104</v>
      </c>
      <c r="B105" s="2" t="s">
        <v>245</v>
      </c>
      <c r="C105" s="2" t="s">
        <v>246</v>
      </c>
      <c r="D105" s="2" t="s">
        <v>33</v>
      </c>
      <c r="E105" s="2" t="s">
        <v>41</v>
      </c>
      <c r="F105" s="2" t="s">
        <v>48</v>
      </c>
      <c r="G105" s="2" t="s">
        <v>18</v>
      </c>
      <c r="H105" s="2">
        <v>11</v>
      </c>
      <c r="I105" s="2" t="str">
        <f>VLOOKUP(D105,부서코드표!$A$2:$C$11,2,0)</f>
        <v>물류</v>
      </c>
      <c r="J105" s="2" t="str">
        <f>VLOOKUP(E105,프로그램표!$A$2:$E$7,2,0)</f>
        <v>AI 데이터 분석 기초</v>
      </c>
      <c r="K105" s="2">
        <f>VLOOKUP(E105,프로그램표!$A$2:$E$7,3,0)</f>
        <v>10</v>
      </c>
      <c r="L105" s="3">
        <f>K105*VLOOKUP(E105,프로그램표!$A$2:$E$7,4,0)*IF(G105="Y",1,0.5)</f>
        <v>150000</v>
      </c>
      <c r="M105" s="2" t="str">
        <f t="shared" si="3"/>
        <v>우선</v>
      </c>
    </row>
    <row r="106" spans="1:13" ht="15.35" x14ac:dyDescent="0.6">
      <c r="A106" s="2">
        <v>105</v>
      </c>
      <c r="B106" s="2" t="s">
        <v>247</v>
      </c>
      <c r="C106" s="2" t="s">
        <v>248</v>
      </c>
      <c r="D106" s="2" t="s">
        <v>45</v>
      </c>
      <c r="E106" s="2" t="s">
        <v>34</v>
      </c>
      <c r="F106" s="2" t="s">
        <v>94</v>
      </c>
      <c r="G106" s="2" t="s">
        <v>26</v>
      </c>
      <c r="H106" s="2">
        <v>8</v>
      </c>
      <c r="I106" s="2" t="str">
        <f>VLOOKUP(D106,부서코드표!$A$2:$C$11,2,0)</f>
        <v>인사</v>
      </c>
      <c r="J106" s="2" t="str">
        <f>VLOOKUP(E106,프로그램표!$A$2:$E$7,2,0)</f>
        <v>AI 제작·운영 업무</v>
      </c>
      <c r="K106" s="2">
        <f>VLOOKUP(E106,프로그램표!$A$2:$E$7,3,0)</f>
        <v>12</v>
      </c>
      <c r="L106" s="3">
        <f>K106*VLOOKUP(E106,프로그램표!$A$2:$E$7,4,0)*IF(G106="Y",1,0.5)</f>
        <v>90000</v>
      </c>
      <c r="M106" s="2" t="str">
        <f t="shared" si="3"/>
        <v>일반</v>
      </c>
    </row>
    <row r="107" spans="1:13" ht="15.35" x14ac:dyDescent="0.6">
      <c r="A107" s="2">
        <v>106</v>
      </c>
      <c r="B107" s="2" t="s">
        <v>249</v>
      </c>
      <c r="C107" s="2" t="s">
        <v>250</v>
      </c>
      <c r="D107" s="2" t="s">
        <v>37</v>
      </c>
      <c r="E107" s="2" t="s">
        <v>81</v>
      </c>
      <c r="F107" s="2" t="s">
        <v>94</v>
      </c>
      <c r="G107" s="2" t="s">
        <v>18</v>
      </c>
      <c r="H107" s="2">
        <v>17</v>
      </c>
      <c r="I107" s="2" t="str">
        <f>VLOOKUP(D107,부서코드표!$A$2:$C$11,2,0)</f>
        <v>영업</v>
      </c>
      <c r="J107" s="2" t="str">
        <f>VLOOKUP(E107,프로그램표!$A$2:$E$7,2,0)</f>
        <v>AI 고객응대 실무</v>
      </c>
      <c r="K107" s="2">
        <f>VLOOKUP(E107,프로그램표!$A$2:$E$7,3,0)</f>
        <v>6</v>
      </c>
      <c r="L107" s="3">
        <f>K107*VLOOKUP(E107,프로그램표!$A$2:$E$7,4,0)*IF(G107="Y",1,0.5)</f>
        <v>72000</v>
      </c>
      <c r="M107" s="2" t="str">
        <f t="shared" si="3"/>
        <v>우선</v>
      </c>
    </row>
    <row r="108" spans="1:13" ht="15.35" x14ac:dyDescent="0.6">
      <c r="A108" s="2">
        <v>107</v>
      </c>
      <c r="B108" s="2" t="s">
        <v>251</v>
      </c>
      <c r="C108" s="2" t="s">
        <v>252</v>
      </c>
      <c r="D108" s="2" t="s">
        <v>15</v>
      </c>
      <c r="E108" s="2" t="s">
        <v>81</v>
      </c>
      <c r="F108" s="2" t="s">
        <v>17</v>
      </c>
      <c r="G108" s="2" t="s">
        <v>18</v>
      </c>
      <c r="H108" s="2">
        <v>19</v>
      </c>
      <c r="I108" s="2" t="str">
        <f>VLOOKUP(D108,부서코드표!$A$2:$C$11,2,0)</f>
        <v>마케팅</v>
      </c>
      <c r="J108" s="2" t="str">
        <f>VLOOKUP(E108,프로그램표!$A$2:$E$7,2,0)</f>
        <v>AI 고객응대 실무</v>
      </c>
      <c r="K108" s="2">
        <f>VLOOKUP(E108,프로그램표!$A$2:$E$7,3,0)</f>
        <v>6</v>
      </c>
      <c r="L108" s="3">
        <f>K108*VLOOKUP(E108,프로그램표!$A$2:$E$7,4,0)*IF(G108="Y",1,0.5)</f>
        <v>72000</v>
      </c>
      <c r="M108" s="2" t="str">
        <f t="shared" si="3"/>
        <v>우선</v>
      </c>
    </row>
    <row r="109" spans="1:13" ht="15.35" x14ac:dyDescent="0.6">
      <c r="A109" s="2">
        <v>108</v>
      </c>
      <c r="B109" s="2" t="s">
        <v>253</v>
      </c>
      <c r="C109" s="2" t="s">
        <v>254</v>
      </c>
      <c r="D109" s="2" t="s">
        <v>84</v>
      </c>
      <c r="E109" s="2" t="s">
        <v>16</v>
      </c>
      <c r="F109" s="2" t="s">
        <v>94</v>
      </c>
      <c r="G109" s="2" t="s">
        <v>18</v>
      </c>
      <c r="H109" s="2">
        <v>12</v>
      </c>
      <c r="I109" s="2" t="str">
        <f>VLOOKUP(D109,부서코드표!$A$2:$C$11,2,0)</f>
        <v>고객지원</v>
      </c>
      <c r="J109" s="2" t="str">
        <f>VLOOKUP(E109,프로그램표!$A$2:$E$7,2,0)</f>
        <v>AI 업무 기본</v>
      </c>
      <c r="K109" s="2">
        <f>VLOOKUP(E109,프로그램표!$A$2:$E$7,3,0)</f>
        <v>14</v>
      </c>
      <c r="L109" s="3">
        <f>K109*VLOOKUP(E109,프로그램표!$A$2:$E$7,4,0)*IF(G109="Y",1,0.5)</f>
        <v>210000</v>
      </c>
      <c r="M109" s="2" t="str">
        <f t="shared" si="3"/>
        <v>우선</v>
      </c>
    </row>
    <row r="110" spans="1:13" ht="15.35" x14ac:dyDescent="0.6">
      <c r="A110" s="2">
        <v>109</v>
      </c>
      <c r="B110" s="2" t="s">
        <v>255</v>
      </c>
      <c r="C110" s="2" t="s">
        <v>256</v>
      </c>
      <c r="D110" s="2" t="s">
        <v>62</v>
      </c>
      <c r="E110" s="2" t="s">
        <v>41</v>
      </c>
      <c r="F110" s="2" t="s">
        <v>42</v>
      </c>
      <c r="G110" s="2" t="s">
        <v>18</v>
      </c>
      <c r="H110" s="2">
        <v>28</v>
      </c>
      <c r="I110" s="2" t="str">
        <f>VLOOKUP(D110,부서코드표!$A$2:$C$11,2,0)</f>
        <v>디자인</v>
      </c>
      <c r="J110" s="2" t="str">
        <f>VLOOKUP(E110,프로그램표!$A$2:$E$7,2,0)</f>
        <v>AI 데이터 분석 기초</v>
      </c>
      <c r="K110" s="2">
        <f>VLOOKUP(E110,프로그램표!$A$2:$E$7,3,0)</f>
        <v>10</v>
      </c>
      <c r="L110" s="3">
        <f>K110*VLOOKUP(E110,프로그램표!$A$2:$E$7,4,0)*IF(G110="Y",1,0.5)</f>
        <v>150000</v>
      </c>
      <c r="M110" s="2" t="str">
        <f t="shared" si="3"/>
        <v>일반</v>
      </c>
    </row>
    <row r="111" spans="1:13" ht="15.35" x14ac:dyDescent="0.6">
      <c r="A111" s="2">
        <v>110</v>
      </c>
      <c r="B111" s="2" t="s">
        <v>257</v>
      </c>
      <c r="C111" s="2" t="s">
        <v>258</v>
      </c>
      <c r="D111" s="2" t="s">
        <v>51</v>
      </c>
      <c r="E111" s="2" t="s">
        <v>16</v>
      </c>
      <c r="F111" s="2" t="s">
        <v>42</v>
      </c>
      <c r="G111" s="2" t="s">
        <v>26</v>
      </c>
      <c r="H111" s="2">
        <v>16</v>
      </c>
      <c r="I111" s="2" t="str">
        <f>VLOOKUP(D111,부서코드표!$A$2:$C$11,2,0)</f>
        <v>제작</v>
      </c>
      <c r="J111" s="2" t="str">
        <f>VLOOKUP(E111,프로그램표!$A$2:$E$7,2,0)</f>
        <v>AI 업무 기본</v>
      </c>
      <c r="K111" s="2">
        <f>VLOOKUP(E111,프로그램표!$A$2:$E$7,3,0)</f>
        <v>14</v>
      </c>
      <c r="L111" s="3">
        <f>K111*VLOOKUP(E111,프로그램표!$A$2:$E$7,4,0)*IF(G111="Y",1,0.5)</f>
        <v>105000</v>
      </c>
      <c r="M111" s="2" t="str">
        <f t="shared" si="3"/>
        <v>일반</v>
      </c>
    </row>
    <row r="112" spans="1:13" ht="15.35" x14ac:dyDescent="0.6">
      <c r="A112" s="2">
        <v>111</v>
      </c>
      <c r="B112" s="2" t="s">
        <v>259</v>
      </c>
      <c r="C112" s="2" t="s">
        <v>260</v>
      </c>
      <c r="D112" s="2" t="s">
        <v>62</v>
      </c>
      <c r="E112" s="2" t="s">
        <v>41</v>
      </c>
      <c r="F112" s="2" t="s">
        <v>59</v>
      </c>
      <c r="G112" s="2" t="s">
        <v>26</v>
      </c>
      <c r="H112" s="2">
        <v>9</v>
      </c>
      <c r="I112" s="2" t="str">
        <f>VLOOKUP(D112,부서코드표!$A$2:$C$11,2,0)</f>
        <v>디자인</v>
      </c>
      <c r="J112" s="2" t="str">
        <f>VLOOKUP(E112,프로그램표!$A$2:$E$7,2,0)</f>
        <v>AI 데이터 분석 기초</v>
      </c>
      <c r="K112" s="2">
        <f>VLOOKUP(E112,프로그램표!$A$2:$E$7,3,0)</f>
        <v>10</v>
      </c>
      <c r="L112" s="3">
        <f>K112*VLOOKUP(E112,프로그램표!$A$2:$E$7,4,0)*IF(G112="Y",1,0.5)</f>
        <v>75000</v>
      </c>
      <c r="M112" s="2" t="str">
        <f t="shared" si="3"/>
        <v>일반</v>
      </c>
    </row>
    <row r="113" spans="1:13" ht="15.35" x14ac:dyDescent="0.6">
      <c r="A113" s="2">
        <v>112</v>
      </c>
      <c r="B113" s="2" t="s">
        <v>261</v>
      </c>
      <c r="C113" s="2" t="s">
        <v>262</v>
      </c>
      <c r="D113" s="2" t="s">
        <v>21</v>
      </c>
      <c r="E113" s="2" t="s">
        <v>16</v>
      </c>
      <c r="F113" s="2" t="s">
        <v>23</v>
      </c>
      <c r="G113" s="2" t="s">
        <v>18</v>
      </c>
      <c r="H113" s="2">
        <v>16</v>
      </c>
      <c r="I113" s="2" t="str">
        <f>VLOOKUP(D113,부서코드표!$A$2:$C$11,2,0)</f>
        <v>편집·콘텐츠</v>
      </c>
      <c r="J113" s="2" t="str">
        <f>VLOOKUP(E113,프로그램표!$A$2:$E$7,2,0)</f>
        <v>AI 업무 기본</v>
      </c>
      <c r="K113" s="2">
        <f>VLOOKUP(E113,프로그램표!$A$2:$E$7,3,0)</f>
        <v>14</v>
      </c>
      <c r="L113" s="3">
        <f>K113*VLOOKUP(E113,프로그램표!$A$2:$E$7,4,0)*IF(G113="Y",1,0.5)</f>
        <v>210000</v>
      </c>
      <c r="M113" s="2" t="str">
        <f t="shared" si="3"/>
        <v>우선</v>
      </c>
    </row>
    <row r="114" spans="1:13" ht="15.35" x14ac:dyDescent="0.6">
      <c r="A114" s="2">
        <v>113</v>
      </c>
      <c r="B114" s="2" t="s">
        <v>263</v>
      </c>
      <c r="C114" s="2" t="s">
        <v>264</v>
      </c>
      <c r="D114" s="2" t="s">
        <v>84</v>
      </c>
      <c r="E114" s="2" t="s">
        <v>81</v>
      </c>
      <c r="F114" s="2" t="s">
        <v>30</v>
      </c>
      <c r="G114" s="2" t="s">
        <v>18</v>
      </c>
      <c r="H114" s="2">
        <v>24</v>
      </c>
      <c r="I114" s="2" t="str">
        <f>VLOOKUP(D114,부서코드표!$A$2:$C$11,2,0)</f>
        <v>고객지원</v>
      </c>
      <c r="J114" s="2" t="str">
        <f>VLOOKUP(E114,프로그램표!$A$2:$E$7,2,0)</f>
        <v>AI 고객응대 실무</v>
      </c>
      <c r="K114" s="2">
        <f>VLOOKUP(E114,프로그램표!$A$2:$E$7,3,0)</f>
        <v>6</v>
      </c>
      <c r="L114" s="3">
        <f>K114*VLOOKUP(E114,프로그램표!$A$2:$E$7,4,0)*IF(G114="Y",1,0.5)</f>
        <v>72000</v>
      </c>
      <c r="M114" s="2" t="str">
        <f t="shared" si="3"/>
        <v>일반</v>
      </c>
    </row>
    <row r="115" spans="1:13" ht="15.35" x14ac:dyDescent="0.6">
      <c r="A115" s="2">
        <v>114</v>
      </c>
      <c r="B115" s="2" t="s">
        <v>265</v>
      </c>
      <c r="C115" s="2" t="s">
        <v>266</v>
      </c>
      <c r="D115" s="2" t="s">
        <v>51</v>
      </c>
      <c r="E115" s="2" t="s">
        <v>16</v>
      </c>
      <c r="F115" s="2" t="s">
        <v>59</v>
      </c>
      <c r="G115" s="2" t="s">
        <v>18</v>
      </c>
      <c r="H115" s="2">
        <v>22</v>
      </c>
      <c r="I115" s="2" t="str">
        <f>VLOOKUP(D115,부서코드표!$A$2:$C$11,2,0)</f>
        <v>제작</v>
      </c>
      <c r="J115" s="2" t="str">
        <f>VLOOKUP(E115,프로그램표!$A$2:$E$7,2,0)</f>
        <v>AI 업무 기본</v>
      </c>
      <c r="K115" s="2">
        <f>VLOOKUP(E115,프로그램표!$A$2:$E$7,3,0)</f>
        <v>14</v>
      </c>
      <c r="L115" s="3">
        <f>K115*VLOOKUP(E115,프로그램표!$A$2:$E$7,4,0)*IF(G115="Y",1,0.5)</f>
        <v>210000</v>
      </c>
      <c r="M115" s="2" t="str">
        <f t="shared" si="3"/>
        <v>일반</v>
      </c>
    </row>
    <row r="116" spans="1:13" ht="15.35" x14ac:dyDescent="0.6">
      <c r="A116" s="2">
        <v>115</v>
      </c>
      <c r="B116" s="2" t="s">
        <v>267</v>
      </c>
      <c r="C116" s="2" t="s">
        <v>268</v>
      </c>
      <c r="D116" s="2" t="s">
        <v>33</v>
      </c>
      <c r="E116" s="2" t="s">
        <v>38</v>
      </c>
      <c r="F116" s="2" t="s">
        <v>54</v>
      </c>
      <c r="G116" s="2" t="s">
        <v>18</v>
      </c>
      <c r="H116" s="2">
        <v>0</v>
      </c>
      <c r="I116" s="2" t="str">
        <f>VLOOKUP(D116,부서코드표!$A$2:$C$11,2,0)</f>
        <v>물류</v>
      </c>
      <c r="J116" s="2" t="str">
        <f>VLOOKUP(E116,프로그램표!$A$2:$E$7,2,0)</f>
        <v>AI 교육콘텐츠 검수</v>
      </c>
      <c r="K116" s="2">
        <f>VLOOKUP(E116,프로그램표!$A$2:$E$7,3,0)</f>
        <v>4</v>
      </c>
      <c r="L116" s="3">
        <f>K116*VLOOKUP(E116,프로그램표!$A$2:$E$7,4,0)*IF(G116="Y",1,0.5)</f>
        <v>40000</v>
      </c>
      <c r="M116" s="2" t="str">
        <f t="shared" si="3"/>
        <v>우선</v>
      </c>
    </row>
    <row r="117" spans="1:13" ht="15.35" x14ac:dyDescent="0.6">
      <c r="A117" s="2">
        <v>116</v>
      </c>
      <c r="B117" s="2" t="s">
        <v>269</v>
      </c>
      <c r="C117" s="2" t="s">
        <v>270</v>
      </c>
      <c r="D117" s="2" t="s">
        <v>45</v>
      </c>
      <c r="E117" s="2" t="s">
        <v>16</v>
      </c>
      <c r="F117" s="2" t="s">
        <v>48</v>
      </c>
      <c r="G117" s="2" t="s">
        <v>18</v>
      </c>
      <c r="H117" s="2">
        <v>3</v>
      </c>
      <c r="I117" s="2" t="str">
        <f>VLOOKUP(D117,부서코드표!$A$2:$C$11,2,0)</f>
        <v>인사</v>
      </c>
      <c r="J117" s="2" t="str">
        <f>VLOOKUP(E117,프로그램표!$A$2:$E$7,2,0)</f>
        <v>AI 업무 기본</v>
      </c>
      <c r="K117" s="2">
        <f>VLOOKUP(E117,프로그램표!$A$2:$E$7,3,0)</f>
        <v>14</v>
      </c>
      <c r="L117" s="3">
        <f>K117*VLOOKUP(E117,프로그램표!$A$2:$E$7,4,0)*IF(G117="Y",1,0.5)</f>
        <v>210000</v>
      </c>
      <c r="M117" s="2" t="str">
        <f t="shared" si="3"/>
        <v>우선</v>
      </c>
    </row>
    <row r="118" spans="1:13" ht="15.35" x14ac:dyDescent="0.6">
      <c r="A118" s="2">
        <v>117</v>
      </c>
      <c r="B118" s="2" t="s">
        <v>271</v>
      </c>
      <c r="C118" s="2" t="s">
        <v>272</v>
      </c>
      <c r="D118" s="2" t="s">
        <v>37</v>
      </c>
      <c r="E118" s="2" t="s">
        <v>38</v>
      </c>
      <c r="F118" s="2" t="s">
        <v>94</v>
      </c>
      <c r="G118" s="2" t="s">
        <v>26</v>
      </c>
      <c r="H118" s="2">
        <v>2</v>
      </c>
      <c r="I118" s="2" t="str">
        <f>VLOOKUP(D118,부서코드표!$A$2:$C$11,2,0)</f>
        <v>영업</v>
      </c>
      <c r="J118" s="2" t="str">
        <f>VLOOKUP(E118,프로그램표!$A$2:$E$7,2,0)</f>
        <v>AI 교육콘텐츠 검수</v>
      </c>
      <c r="K118" s="2">
        <f>VLOOKUP(E118,프로그램표!$A$2:$E$7,3,0)</f>
        <v>4</v>
      </c>
      <c r="L118" s="3">
        <f>K118*VLOOKUP(E118,프로그램표!$A$2:$E$7,4,0)*IF(G118="Y",1,0.5)</f>
        <v>20000</v>
      </c>
      <c r="M118" s="2" t="str">
        <f t="shared" si="3"/>
        <v>일반</v>
      </c>
    </row>
    <row r="119" spans="1:13" ht="15.35" x14ac:dyDescent="0.6">
      <c r="A119" s="2">
        <v>118</v>
      </c>
      <c r="B119" s="2" t="s">
        <v>273</v>
      </c>
      <c r="C119" s="2" t="s">
        <v>274</v>
      </c>
      <c r="D119" s="2" t="s">
        <v>62</v>
      </c>
      <c r="E119" s="2" t="s">
        <v>16</v>
      </c>
      <c r="F119" s="2" t="s">
        <v>94</v>
      </c>
      <c r="G119" s="2" t="s">
        <v>26</v>
      </c>
      <c r="H119" s="2">
        <v>8</v>
      </c>
      <c r="I119" s="2" t="str">
        <f>VLOOKUP(D119,부서코드표!$A$2:$C$11,2,0)</f>
        <v>디자인</v>
      </c>
      <c r="J119" s="2" t="str">
        <f>VLOOKUP(E119,프로그램표!$A$2:$E$7,2,0)</f>
        <v>AI 업무 기본</v>
      </c>
      <c r="K119" s="2">
        <f>VLOOKUP(E119,프로그램표!$A$2:$E$7,3,0)</f>
        <v>14</v>
      </c>
      <c r="L119" s="3">
        <f>K119*VLOOKUP(E119,프로그램표!$A$2:$E$7,4,0)*IF(G119="Y",1,0.5)</f>
        <v>105000</v>
      </c>
      <c r="M119" s="2" t="str">
        <f t="shared" si="3"/>
        <v>일반</v>
      </c>
    </row>
    <row r="120" spans="1:13" ht="15.35" x14ac:dyDescent="0.6">
      <c r="A120" s="2">
        <v>119</v>
      </c>
      <c r="B120" s="2" t="s">
        <v>275</v>
      </c>
      <c r="C120" s="2" t="s">
        <v>276</v>
      </c>
      <c r="D120" s="2" t="s">
        <v>87</v>
      </c>
      <c r="E120" s="2" t="s">
        <v>16</v>
      </c>
      <c r="F120" s="2" t="s">
        <v>17</v>
      </c>
      <c r="G120" s="2" t="s">
        <v>18</v>
      </c>
      <c r="H120" s="2">
        <v>21</v>
      </c>
      <c r="I120" s="2" t="str">
        <f>VLOOKUP(D120,부서코드표!$A$2:$C$11,2,0)</f>
        <v>재무</v>
      </c>
      <c r="J120" s="2" t="str">
        <f>VLOOKUP(E120,프로그램표!$A$2:$E$7,2,0)</f>
        <v>AI 업무 기본</v>
      </c>
      <c r="K120" s="2">
        <f>VLOOKUP(E120,프로그램표!$A$2:$E$7,3,0)</f>
        <v>14</v>
      </c>
      <c r="L120" s="3">
        <f>K120*VLOOKUP(E120,프로그램표!$A$2:$E$7,4,0)*IF(G120="Y",1,0.5)</f>
        <v>210000</v>
      </c>
      <c r="M120" s="2" t="str">
        <f t="shared" si="3"/>
        <v>일반</v>
      </c>
    </row>
    <row r="121" spans="1:13" ht="15.35" x14ac:dyDescent="0.6">
      <c r="A121" s="2">
        <v>120</v>
      </c>
      <c r="B121" s="2" t="s">
        <v>277</v>
      </c>
      <c r="C121" s="2" t="s">
        <v>278</v>
      </c>
      <c r="D121" s="2" t="s">
        <v>37</v>
      </c>
      <c r="E121" s="2" t="s">
        <v>81</v>
      </c>
      <c r="F121" s="2" t="s">
        <v>42</v>
      </c>
      <c r="G121" s="2" t="s">
        <v>18</v>
      </c>
      <c r="H121" s="2">
        <v>15</v>
      </c>
      <c r="I121" s="2" t="str">
        <f>VLOOKUP(D121,부서코드표!$A$2:$C$11,2,0)</f>
        <v>영업</v>
      </c>
      <c r="J121" s="2" t="str">
        <f>VLOOKUP(E121,프로그램표!$A$2:$E$7,2,0)</f>
        <v>AI 고객응대 실무</v>
      </c>
      <c r="K121" s="2">
        <f>VLOOKUP(E121,프로그램표!$A$2:$E$7,3,0)</f>
        <v>6</v>
      </c>
      <c r="L121" s="3">
        <f>K121*VLOOKUP(E121,프로그램표!$A$2:$E$7,4,0)*IF(G121="Y",1,0.5)</f>
        <v>72000</v>
      </c>
      <c r="M121" s="2" t="str">
        <f t="shared" si="3"/>
        <v>우선</v>
      </c>
    </row>
    <row r="122" spans="1:13" ht="15.35" x14ac:dyDescent="0.6">
      <c r="A122" s="2">
        <v>121</v>
      </c>
      <c r="B122" s="2" t="s">
        <v>279</v>
      </c>
      <c r="C122" s="2" t="s">
        <v>280</v>
      </c>
      <c r="D122" s="2" t="s">
        <v>29</v>
      </c>
      <c r="E122" s="2" t="s">
        <v>81</v>
      </c>
      <c r="F122" s="2" t="s">
        <v>94</v>
      </c>
      <c r="G122" s="2" t="s">
        <v>18</v>
      </c>
      <c r="H122" s="2">
        <v>0</v>
      </c>
      <c r="I122" s="2" t="str">
        <f>VLOOKUP(D122,부서코드표!$A$2:$C$11,2,0)</f>
        <v>디지털교육</v>
      </c>
      <c r="J122" s="2" t="str">
        <f>VLOOKUP(E122,프로그램표!$A$2:$E$7,2,0)</f>
        <v>AI 고객응대 실무</v>
      </c>
      <c r="K122" s="2">
        <f>VLOOKUP(E122,프로그램표!$A$2:$E$7,3,0)</f>
        <v>6</v>
      </c>
      <c r="L122" s="3">
        <f>K122*VLOOKUP(E122,프로그램표!$A$2:$E$7,4,0)*IF(G122="Y",1,0.5)</f>
        <v>72000</v>
      </c>
      <c r="M122" s="2" t="str">
        <f t="shared" si="3"/>
        <v>우선</v>
      </c>
    </row>
    <row r="123" spans="1:13" ht="15.35" x14ac:dyDescent="0.6">
      <c r="A123" s="2">
        <v>122</v>
      </c>
      <c r="B123" s="2" t="s">
        <v>281</v>
      </c>
      <c r="C123" s="2" t="s">
        <v>282</v>
      </c>
      <c r="D123" s="2" t="s">
        <v>21</v>
      </c>
      <c r="E123" s="2" t="s">
        <v>34</v>
      </c>
      <c r="F123" s="2" t="s">
        <v>59</v>
      </c>
      <c r="G123" s="2" t="s">
        <v>18</v>
      </c>
      <c r="H123" s="2">
        <v>22</v>
      </c>
      <c r="I123" s="2" t="str">
        <f>VLOOKUP(D123,부서코드표!$A$2:$C$11,2,0)</f>
        <v>편집·콘텐츠</v>
      </c>
      <c r="J123" s="2" t="str">
        <f>VLOOKUP(E123,프로그램표!$A$2:$E$7,2,0)</f>
        <v>AI 제작·운영 업무</v>
      </c>
      <c r="K123" s="2">
        <f>VLOOKUP(E123,프로그램표!$A$2:$E$7,3,0)</f>
        <v>12</v>
      </c>
      <c r="L123" s="3">
        <f>K123*VLOOKUP(E123,프로그램표!$A$2:$E$7,4,0)*IF(G123="Y",1,0.5)</f>
        <v>180000</v>
      </c>
      <c r="M123" s="2" t="str">
        <f t="shared" si="3"/>
        <v>일반</v>
      </c>
    </row>
    <row r="124" spans="1:13" ht="15.35" x14ac:dyDescent="0.6">
      <c r="A124" s="2">
        <v>123</v>
      </c>
      <c r="B124" s="2" t="s">
        <v>283</v>
      </c>
      <c r="C124" s="2" t="s">
        <v>284</v>
      </c>
      <c r="D124" s="2" t="s">
        <v>84</v>
      </c>
      <c r="E124" s="2" t="s">
        <v>22</v>
      </c>
      <c r="F124" s="2" t="s">
        <v>17</v>
      </c>
      <c r="G124" s="2" t="s">
        <v>26</v>
      </c>
      <c r="H124" s="2">
        <v>0</v>
      </c>
      <c r="I124" s="2" t="str">
        <f>VLOOKUP(D124,부서코드표!$A$2:$C$11,2,0)</f>
        <v>고객지원</v>
      </c>
      <c r="J124" s="2" t="str">
        <f>VLOOKUP(E124,프로그램표!$A$2:$E$7,2,0)</f>
        <v>AI 사내 보고서 작성</v>
      </c>
      <c r="K124" s="2">
        <f>VLOOKUP(E124,프로그램표!$A$2:$E$7,3,0)</f>
        <v>7</v>
      </c>
      <c r="L124" s="3">
        <f>K124*VLOOKUP(E124,프로그램표!$A$2:$E$7,4,0)*IF(G124="Y",1,0.5)</f>
        <v>42000</v>
      </c>
      <c r="M124" s="2" t="str">
        <f t="shared" si="3"/>
        <v>일반</v>
      </c>
    </row>
    <row r="125" spans="1:13" ht="15.35" x14ac:dyDescent="0.6">
      <c r="A125" s="2">
        <v>124</v>
      </c>
      <c r="B125" s="2" t="s">
        <v>285</v>
      </c>
      <c r="C125" s="2" t="s">
        <v>286</v>
      </c>
      <c r="D125" s="2" t="s">
        <v>84</v>
      </c>
      <c r="E125" s="2" t="s">
        <v>34</v>
      </c>
      <c r="F125" s="2" t="s">
        <v>23</v>
      </c>
      <c r="G125" s="2" t="s">
        <v>18</v>
      </c>
      <c r="H125" s="2">
        <v>37</v>
      </c>
      <c r="I125" s="2" t="str">
        <f>VLOOKUP(D125,부서코드표!$A$2:$C$11,2,0)</f>
        <v>고객지원</v>
      </c>
      <c r="J125" s="2" t="str">
        <f>VLOOKUP(E125,프로그램표!$A$2:$E$7,2,0)</f>
        <v>AI 제작·운영 업무</v>
      </c>
      <c r="K125" s="2">
        <f>VLOOKUP(E125,프로그램표!$A$2:$E$7,3,0)</f>
        <v>12</v>
      </c>
      <c r="L125" s="3">
        <f>K125*VLOOKUP(E125,프로그램표!$A$2:$E$7,4,0)*IF(G125="Y",1,0.5)</f>
        <v>180000</v>
      </c>
      <c r="M125" s="2" t="str">
        <f t="shared" si="3"/>
        <v>일반</v>
      </c>
    </row>
    <row r="126" spans="1:13" ht="15.35" x14ac:dyDescent="0.6">
      <c r="A126" s="2">
        <v>125</v>
      </c>
      <c r="B126" s="2" t="s">
        <v>287</v>
      </c>
      <c r="C126" s="2" t="s">
        <v>288</v>
      </c>
      <c r="D126" s="2" t="s">
        <v>21</v>
      </c>
      <c r="E126" s="2" t="s">
        <v>41</v>
      </c>
      <c r="F126" s="2" t="s">
        <v>59</v>
      </c>
      <c r="G126" s="2" t="s">
        <v>26</v>
      </c>
      <c r="H126" s="2">
        <v>17</v>
      </c>
      <c r="I126" s="2" t="str">
        <f>VLOOKUP(D126,부서코드표!$A$2:$C$11,2,0)</f>
        <v>편집·콘텐츠</v>
      </c>
      <c r="J126" s="2" t="str">
        <f>VLOOKUP(E126,프로그램표!$A$2:$E$7,2,0)</f>
        <v>AI 데이터 분석 기초</v>
      </c>
      <c r="K126" s="2">
        <f>VLOOKUP(E126,프로그램표!$A$2:$E$7,3,0)</f>
        <v>10</v>
      </c>
      <c r="L126" s="3">
        <f>K126*VLOOKUP(E126,프로그램표!$A$2:$E$7,4,0)*IF(G126="Y",1,0.5)</f>
        <v>75000</v>
      </c>
      <c r="M126" s="2" t="str">
        <f t="shared" si="3"/>
        <v>일반</v>
      </c>
    </row>
    <row r="127" spans="1:13" ht="15.35" x14ac:dyDescent="0.6">
      <c r="A127" s="2">
        <v>126</v>
      </c>
      <c r="B127" s="2" t="s">
        <v>289</v>
      </c>
      <c r="C127" s="2" t="s">
        <v>290</v>
      </c>
      <c r="D127" s="2" t="s">
        <v>15</v>
      </c>
      <c r="E127" s="2" t="s">
        <v>22</v>
      </c>
      <c r="F127" s="2" t="s">
        <v>59</v>
      </c>
      <c r="G127" s="2" t="s">
        <v>26</v>
      </c>
      <c r="H127" s="2">
        <v>15</v>
      </c>
      <c r="I127" s="2" t="str">
        <f>VLOOKUP(D127,부서코드표!$A$2:$C$11,2,0)</f>
        <v>마케팅</v>
      </c>
      <c r="J127" s="2" t="str">
        <f>VLOOKUP(E127,프로그램표!$A$2:$E$7,2,0)</f>
        <v>AI 사내 보고서 작성</v>
      </c>
      <c r="K127" s="2">
        <f>VLOOKUP(E127,프로그램표!$A$2:$E$7,3,0)</f>
        <v>7</v>
      </c>
      <c r="L127" s="3">
        <f>K127*VLOOKUP(E127,프로그램표!$A$2:$E$7,4,0)*IF(G127="Y",1,0.5)</f>
        <v>42000</v>
      </c>
      <c r="M127" s="2" t="str">
        <f t="shared" si="3"/>
        <v>일반</v>
      </c>
    </row>
    <row r="128" spans="1:13" ht="15.35" x14ac:dyDescent="0.6">
      <c r="A128" s="2">
        <v>127</v>
      </c>
      <c r="B128" s="2" t="s">
        <v>291</v>
      </c>
      <c r="C128" s="2" t="s">
        <v>292</v>
      </c>
      <c r="D128" s="2" t="s">
        <v>84</v>
      </c>
      <c r="E128" s="2" t="s">
        <v>38</v>
      </c>
      <c r="F128" s="2" t="s">
        <v>94</v>
      </c>
      <c r="G128" s="2" t="s">
        <v>26</v>
      </c>
      <c r="H128" s="2">
        <v>30</v>
      </c>
      <c r="I128" s="2" t="str">
        <f>VLOOKUP(D128,부서코드표!$A$2:$C$11,2,0)</f>
        <v>고객지원</v>
      </c>
      <c r="J128" s="2" t="str">
        <f>VLOOKUP(E128,프로그램표!$A$2:$E$7,2,0)</f>
        <v>AI 교육콘텐츠 검수</v>
      </c>
      <c r="K128" s="2">
        <f>VLOOKUP(E128,프로그램표!$A$2:$E$7,3,0)</f>
        <v>4</v>
      </c>
      <c r="L128" s="3">
        <f>K128*VLOOKUP(E128,프로그램표!$A$2:$E$7,4,0)*IF(G128="Y",1,0.5)</f>
        <v>20000</v>
      </c>
      <c r="M128" s="2" t="str">
        <f t="shared" si="3"/>
        <v>일반</v>
      </c>
    </row>
    <row r="129" spans="1:13" ht="15.35" x14ac:dyDescent="0.6">
      <c r="A129" s="2">
        <v>128</v>
      </c>
      <c r="B129" s="2" t="s">
        <v>293</v>
      </c>
      <c r="C129" s="2" t="s">
        <v>294</v>
      </c>
      <c r="D129" s="2" t="s">
        <v>37</v>
      </c>
      <c r="E129" s="2" t="s">
        <v>16</v>
      </c>
      <c r="F129" s="2" t="s">
        <v>59</v>
      </c>
      <c r="G129" s="2" t="s">
        <v>18</v>
      </c>
      <c r="H129" s="2">
        <v>12</v>
      </c>
      <c r="I129" s="2" t="str">
        <f>VLOOKUP(D129,부서코드표!$A$2:$C$11,2,0)</f>
        <v>영업</v>
      </c>
      <c r="J129" s="2" t="str">
        <f>VLOOKUP(E129,프로그램표!$A$2:$E$7,2,0)</f>
        <v>AI 업무 기본</v>
      </c>
      <c r="K129" s="2">
        <f>VLOOKUP(E129,프로그램표!$A$2:$E$7,3,0)</f>
        <v>14</v>
      </c>
      <c r="L129" s="3">
        <f>K129*VLOOKUP(E129,프로그램표!$A$2:$E$7,4,0)*IF(G129="Y",1,0.5)</f>
        <v>210000</v>
      </c>
      <c r="M129" s="2" t="str">
        <f t="shared" si="3"/>
        <v>우선</v>
      </c>
    </row>
    <row r="130" spans="1:13" ht="15.35" x14ac:dyDescent="0.6">
      <c r="A130" s="2">
        <v>129</v>
      </c>
      <c r="B130" s="2" t="s">
        <v>295</v>
      </c>
      <c r="C130" s="2" t="s">
        <v>296</v>
      </c>
      <c r="D130" s="2" t="s">
        <v>33</v>
      </c>
      <c r="E130" s="2" t="s">
        <v>41</v>
      </c>
      <c r="F130" s="2" t="s">
        <v>30</v>
      </c>
      <c r="G130" s="2" t="s">
        <v>18</v>
      </c>
      <c r="H130" s="2">
        <v>23</v>
      </c>
      <c r="I130" s="2" t="str">
        <f>VLOOKUP(D130,부서코드표!$A$2:$C$11,2,0)</f>
        <v>물류</v>
      </c>
      <c r="J130" s="2" t="str">
        <f>VLOOKUP(E130,프로그램표!$A$2:$E$7,2,0)</f>
        <v>AI 데이터 분석 기초</v>
      </c>
      <c r="K130" s="2">
        <f>VLOOKUP(E130,프로그램표!$A$2:$E$7,3,0)</f>
        <v>10</v>
      </c>
      <c r="L130" s="3">
        <f>K130*VLOOKUP(E130,프로그램표!$A$2:$E$7,4,0)*IF(G130="Y",1,0.5)</f>
        <v>150000</v>
      </c>
      <c r="M130" s="2" t="str">
        <f t="shared" ref="M130:M151" si="4">IF(AND(G130="Y",H130&lt;20),"우선","일반")</f>
        <v>일반</v>
      </c>
    </row>
    <row r="131" spans="1:13" ht="15.35" x14ac:dyDescent="0.6">
      <c r="A131" s="2">
        <v>130</v>
      </c>
      <c r="B131" s="2" t="s">
        <v>297</v>
      </c>
      <c r="C131" s="2" t="s">
        <v>298</v>
      </c>
      <c r="D131" s="2" t="s">
        <v>87</v>
      </c>
      <c r="E131" s="2" t="s">
        <v>22</v>
      </c>
      <c r="F131" s="2" t="s">
        <v>42</v>
      </c>
      <c r="G131" s="2" t="s">
        <v>18</v>
      </c>
      <c r="H131" s="2">
        <v>4</v>
      </c>
      <c r="I131" s="2" t="str">
        <f>VLOOKUP(D131,부서코드표!$A$2:$C$11,2,0)</f>
        <v>재무</v>
      </c>
      <c r="J131" s="2" t="str">
        <f>VLOOKUP(E131,프로그램표!$A$2:$E$7,2,0)</f>
        <v>AI 사내 보고서 작성</v>
      </c>
      <c r="K131" s="2">
        <f>VLOOKUP(E131,프로그램표!$A$2:$E$7,3,0)</f>
        <v>7</v>
      </c>
      <c r="L131" s="3">
        <f>K131*VLOOKUP(E131,프로그램표!$A$2:$E$7,4,0)*IF(G131="Y",1,0.5)</f>
        <v>84000</v>
      </c>
      <c r="M131" s="2" t="str">
        <f t="shared" si="4"/>
        <v>우선</v>
      </c>
    </row>
    <row r="132" spans="1:13" ht="15.35" x14ac:dyDescent="0.6">
      <c r="A132" s="2">
        <v>131</v>
      </c>
      <c r="B132" s="2" t="s">
        <v>299</v>
      </c>
      <c r="C132" s="2" t="s">
        <v>300</v>
      </c>
      <c r="D132" s="2" t="s">
        <v>33</v>
      </c>
      <c r="E132" s="2" t="s">
        <v>41</v>
      </c>
      <c r="F132" s="2" t="s">
        <v>17</v>
      </c>
      <c r="G132" s="2" t="s">
        <v>26</v>
      </c>
      <c r="H132" s="2">
        <v>0</v>
      </c>
      <c r="I132" s="2" t="str">
        <f>VLOOKUP(D132,부서코드표!$A$2:$C$11,2,0)</f>
        <v>물류</v>
      </c>
      <c r="J132" s="2" t="str">
        <f>VLOOKUP(E132,프로그램표!$A$2:$E$7,2,0)</f>
        <v>AI 데이터 분석 기초</v>
      </c>
      <c r="K132" s="2">
        <f>VLOOKUP(E132,프로그램표!$A$2:$E$7,3,0)</f>
        <v>10</v>
      </c>
      <c r="L132" s="3">
        <f>K132*VLOOKUP(E132,프로그램표!$A$2:$E$7,4,0)*IF(G132="Y",1,0.5)</f>
        <v>75000</v>
      </c>
      <c r="M132" s="2" t="str">
        <f t="shared" si="4"/>
        <v>일반</v>
      </c>
    </row>
    <row r="133" spans="1:13" ht="15.35" x14ac:dyDescent="0.6">
      <c r="A133" s="2">
        <v>132</v>
      </c>
      <c r="B133" s="2" t="s">
        <v>301</v>
      </c>
      <c r="C133" s="2" t="s">
        <v>302</v>
      </c>
      <c r="D133" s="2" t="s">
        <v>15</v>
      </c>
      <c r="E133" s="2" t="s">
        <v>16</v>
      </c>
      <c r="F133" s="2" t="s">
        <v>54</v>
      </c>
      <c r="G133" s="2" t="s">
        <v>18</v>
      </c>
      <c r="H133" s="2">
        <v>0</v>
      </c>
      <c r="I133" s="2" t="str">
        <f>VLOOKUP(D133,부서코드표!$A$2:$C$11,2,0)</f>
        <v>마케팅</v>
      </c>
      <c r="J133" s="2" t="str">
        <f>VLOOKUP(E133,프로그램표!$A$2:$E$7,2,0)</f>
        <v>AI 업무 기본</v>
      </c>
      <c r="K133" s="2">
        <f>VLOOKUP(E133,프로그램표!$A$2:$E$7,3,0)</f>
        <v>14</v>
      </c>
      <c r="L133" s="3">
        <f>K133*VLOOKUP(E133,프로그램표!$A$2:$E$7,4,0)*IF(G133="Y",1,0.5)</f>
        <v>210000</v>
      </c>
      <c r="M133" s="2" t="str">
        <f t="shared" si="4"/>
        <v>우선</v>
      </c>
    </row>
    <row r="134" spans="1:13" ht="15.35" x14ac:dyDescent="0.6">
      <c r="A134" s="2">
        <v>133</v>
      </c>
      <c r="B134" s="2" t="s">
        <v>303</v>
      </c>
      <c r="C134" s="2" t="s">
        <v>304</v>
      </c>
      <c r="D134" s="2" t="s">
        <v>33</v>
      </c>
      <c r="E134" s="2" t="s">
        <v>81</v>
      </c>
      <c r="F134" s="2" t="s">
        <v>48</v>
      </c>
      <c r="G134" s="2" t="s">
        <v>18</v>
      </c>
      <c r="H134" s="2">
        <v>21</v>
      </c>
      <c r="I134" s="2" t="str">
        <f>VLOOKUP(D134,부서코드표!$A$2:$C$11,2,0)</f>
        <v>물류</v>
      </c>
      <c r="J134" s="2" t="str">
        <f>VLOOKUP(E134,프로그램표!$A$2:$E$7,2,0)</f>
        <v>AI 고객응대 실무</v>
      </c>
      <c r="K134" s="2">
        <f>VLOOKUP(E134,프로그램표!$A$2:$E$7,3,0)</f>
        <v>6</v>
      </c>
      <c r="L134" s="3">
        <f>K134*VLOOKUP(E134,프로그램표!$A$2:$E$7,4,0)*IF(G134="Y",1,0.5)</f>
        <v>72000</v>
      </c>
      <c r="M134" s="2" t="str">
        <f t="shared" si="4"/>
        <v>일반</v>
      </c>
    </row>
    <row r="135" spans="1:13" ht="15.35" x14ac:dyDescent="0.6">
      <c r="A135" s="2">
        <v>134</v>
      </c>
      <c r="B135" s="2" t="s">
        <v>305</v>
      </c>
      <c r="C135" s="2" t="s">
        <v>306</v>
      </c>
      <c r="D135" s="2" t="s">
        <v>87</v>
      </c>
      <c r="E135" s="2" t="s">
        <v>22</v>
      </c>
      <c r="F135" s="2" t="s">
        <v>48</v>
      </c>
      <c r="G135" s="2" t="s">
        <v>26</v>
      </c>
      <c r="H135" s="2">
        <v>23</v>
      </c>
      <c r="I135" s="2" t="str">
        <f>VLOOKUP(D135,부서코드표!$A$2:$C$11,2,0)</f>
        <v>재무</v>
      </c>
      <c r="J135" s="2" t="str">
        <f>VLOOKUP(E135,프로그램표!$A$2:$E$7,2,0)</f>
        <v>AI 사내 보고서 작성</v>
      </c>
      <c r="K135" s="2">
        <f>VLOOKUP(E135,프로그램표!$A$2:$E$7,3,0)</f>
        <v>7</v>
      </c>
      <c r="L135" s="3">
        <f>K135*VLOOKUP(E135,프로그램표!$A$2:$E$7,4,0)*IF(G135="Y",1,0.5)</f>
        <v>42000</v>
      </c>
      <c r="M135" s="2" t="str">
        <f t="shared" si="4"/>
        <v>일반</v>
      </c>
    </row>
    <row r="136" spans="1:13" ht="15.35" x14ac:dyDescent="0.6">
      <c r="A136" s="2">
        <v>135</v>
      </c>
      <c r="B136" s="2" t="s">
        <v>307</v>
      </c>
      <c r="C136" s="2" t="s">
        <v>308</v>
      </c>
      <c r="D136" s="2" t="s">
        <v>87</v>
      </c>
      <c r="E136" s="2" t="s">
        <v>38</v>
      </c>
      <c r="F136" s="2" t="s">
        <v>17</v>
      </c>
      <c r="G136" s="2" t="s">
        <v>18</v>
      </c>
      <c r="H136" s="2">
        <v>40</v>
      </c>
      <c r="I136" s="2" t="str">
        <f>VLOOKUP(D136,부서코드표!$A$2:$C$11,2,0)</f>
        <v>재무</v>
      </c>
      <c r="J136" s="2" t="str">
        <f>VLOOKUP(E136,프로그램표!$A$2:$E$7,2,0)</f>
        <v>AI 교육콘텐츠 검수</v>
      </c>
      <c r="K136" s="2">
        <f>VLOOKUP(E136,프로그램표!$A$2:$E$7,3,0)</f>
        <v>4</v>
      </c>
      <c r="L136" s="3">
        <f>K136*VLOOKUP(E136,프로그램표!$A$2:$E$7,4,0)*IF(G136="Y",1,0.5)</f>
        <v>40000</v>
      </c>
      <c r="M136" s="2" t="str">
        <f t="shared" si="4"/>
        <v>일반</v>
      </c>
    </row>
    <row r="137" spans="1:13" ht="15.35" x14ac:dyDescent="0.6">
      <c r="A137" s="2">
        <v>136</v>
      </c>
      <c r="B137" s="2" t="s">
        <v>309</v>
      </c>
      <c r="C137" s="2" t="s">
        <v>310</v>
      </c>
      <c r="D137" s="2" t="s">
        <v>51</v>
      </c>
      <c r="E137" s="2" t="s">
        <v>41</v>
      </c>
      <c r="F137" s="2" t="s">
        <v>23</v>
      </c>
      <c r="G137" s="2" t="s">
        <v>18</v>
      </c>
      <c r="H137" s="2">
        <v>0</v>
      </c>
      <c r="I137" s="2" t="str">
        <f>VLOOKUP(D137,부서코드표!$A$2:$C$11,2,0)</f>
        <v>제작</v>
      </c>
      <c r="J137" s="2" t="str">
        <f>VLOOKUP(E137,프로그램표!$A$2:$E$7,2,0)</f>
        <v>AI 데이터 분석 기초</v>
      </c>
      <c r="K137" s="2">
        <f>VLOOKUP(E137,프로그램표!$A$2:$E$7,3,0)</f>
        <v>10</v>
      </c>
      <c r="L137" s="3">
        <f>K137*VLOOKUP(E137,프로그램표!$A$2:$E$7,4,0)*IF(G137="Y",1,0.5)</f>
        <v>150000</v>
      </c>
      <c r="M137" s="2" t="str">
        <f t="shared" si="4"/>
        <v>우선</v>
      </c>
    </row>
    <row r="138" spans="1:13" ht="15.35" x14ac:dyDescent="0.6">
      <c r="A138" s="2">
        <v>137</v>
      </c>
      <c r="B138" s="2" t="s">
        <v>311</v>
      </c>
      <c r="C138" s="2" t="s">
        <v>312</v>
      </c>
      <c r="D138" s="2" t="s">
        <v>21</v>
      </c>
      <c r="E138" s="2" t="s">
        <v>16</v>
      </c>
      <c r="F138" s="2" t="s">
        <v>54</v>
      </c>
      <c r="G138" s="2" t="s">
        <v>18</v>
      </c>
      <c r="H138" s="2">
        <v>21</v>
      </c>
      <c r="I138" s="2" t="str">
        <f>VLOOKUP(D138,부서코드표!$A$2:$C$11,2,0)</f>
        <v>편집·콘텐츠</v>
      </c>
      <c r="J138" s="2" t="str">
        <f>VLOOKUP(E138,프로그램표!$A$2:$E$7,2,0)</f>
        <v>AI 업무 기본</v>
      </c>
      <c r="K138" s="2">
        <f>VLOOKUP(E138,프로그램표!$A$2:$E$7,3,0)</f>
        <v>14</v>
      </c>
      <c r="L138" s="3">
        <f>K138*VLOOKUP(E138,프로그램표!$A$2:$E$7,4,0)*IF(G138="Y",1,0.5)</f>
        <v>210000</v>
      </c>
      <c r="M138" s="2" t="str">
        <f t="shared" si="4"/>
        <v>일반</v>
      </c>
    </row>
    <row r="139" spans="1:13" ht="15.35" x14ac:dyDescent="0.6">
      <c r="A139" s="2">
        <v>138</v>
      </c>
      <c r="B139" s="2" t="s">
        <v>313</v>
      </c>
      <c r="C139" s="2" t="s">
        <v>314</v>
      </c>
      <c r="D139" s="2" t="s">
        <v>84</v>
      </c>
      <c r="E139" s="2" t="s">
        <v>16</v>
      </c>
      <c r="F139" s="2" t="s">
        <v>23</v>
      </c>
      <c r="G139" s="2" t="s">
        <v>18</v>
      </c>
      <c r="H139" s="2">
        <v>2</v>
      </c>
      <c r="I139" s="2" t="str">
        <f>VLOOKUP(D139,부서코드표!$A$2:$C$11,2,0)</f>
        <v>고객지원</v>
      </c>
      <c r="J139" s="2" t="str">
        <f>VLOOKUP(E139,프로그램표!$A$2:$E$7,2,0)</f>
        <v>AI 업무 기본</v>
      </c>
      <c r="K139" s="2">
        <f>VLOOKUP(E139,프로그램표!$A$2:$E$7,3,0)</f>
        <v>14</v>
      </c>
      <c r="L139" s="3">
        <f>K139*VLOOKUP(E139,프로그램표!$A$2:$E$7,4,0)*IF(G139="Y",1,0.5)</f>
        <v>210000</v>
      </c>
      <c r="M139" s="2" t="str">
        <f t="shared" si="4"/>
        <v>우선</v>
      </c>
    </row>
    <row r="140" spans="1:13" ht="15.35" x14ac:dyDescent="0.6">
      <c r="A140" s="2">
        <v>139</v>
      </c>
      <c r="B140" s="2" t="s">
        <v>315</v>
      </c>
      <c r="C140" s="2" t="s">
        <v>316</v>
      </c>
      <c r="D140" s="2" t="s">
        <v>51</v>
      </c>
      <c r="E140" s="2" t="s">
        <v>38</v>
      </c>
      <c r="F140" s="2" t="s">
        <v>94</v>
      </c>
      <c r="G140" s="2" t="s">
        <v>26</v>
      </c>
      <c r="H140" s="2">
        <v>3</v>
      </c>
      <c r="I140" s="2" t="str">
        <f>VLOOKUP(D140,부서코드표!$A$2:$C$11,2,0)</f>
        <v>제작</v>
      </c>
      <c r="J140" s="2" t="str">
        <f>VLOOKUP(E140,프로그램표!$A$2:$E$7,2,0)</f>
        <v>AI 교육콘텐츠 검수</v>
      </c>
      <c r="K140" s="2">
        <f>VLOOKUP(E140,프로그램표!$A$2:$E$7,3,0)</f>
        <v>4</v>
      </c>
      <c r="L140" s="3">
        <f>K140*VLOOKUP(E140,프로그램표!$A$2:$E$7,4,0)*IF(G140="Y",1,0.5)</f>
        <v>20000</v>
      </c>
      <c r="M140" s="2" t="str">
        <f t="shared" si="4"/>
        <v>일반</v>
      </c>
    </row>
    <row r="141" spans="1:13" ht="15.35" x14ac:dyDescent="0.6">
      <c r="A141" s="2">
        <v>140</v>
      </c>
      <c r="B141" s="2" t="s">
        <v>317</v>
      </c>
      <c r="C141" s="2" t="s">
        <v>318</v>
      </c>
      <c r="D141" s="2" t="s">
        <v>21</v>
      </c>
      <c r="E141" s="2" t="s">
        <v>16</v>
      </c>
      <c r="F141" s="2" t="s">
        <v>42</v>
      </c>
      <c r="G141" s="2" t="s">
        <v>18</v>
      </c>
      <c r="H141" s="2">
        <v>12</v>
      </c>
      <c r="I141" s="2" t="str">
        <f>VLOOKUP(D141,부서코드표!$A$2:$C$11,2,0)</f>
        <v>편집·콘텐츠</v>
      </c>
      <c r="J141" s="2" t="str">
        <f>VLOOKUP(E141,프로그램표!$A$2:$E$7,2,0)</f>
        <v>AI 업무 기본</v>
      </c>
      <c r="K141" s="2">
        <f>VLOOKUP(E141,프로그램표!$A$2:$E$7,3,0)</f>
        <v>14</v>
      </c>
      <c r="L141" s="3">
        <f>K141*VLOOKUP(E141,프로그램표!$A$2:$E$7,4,0)*IF(G141="Y",1,0.5)</f>
        <v>210000</v>
      </c>
      <c r="M141" s="2" t="str">
        <f t="shared" si="4"/>
        <v>우선</v>
      </c>
    </row>
    <row r="142" spans="1:13" ht="15.35" x14ac:dyDescent="0.6">
      <c r="A142" s="2">
        <v>141</v>
      </c>
      <c r="B142" s="2" t="s">
        <v>319</v>
      </c>
      <c r="C142" s="2" t="s">
        <v>320</v>
      </c>
      <c r="D142" s="2" t="s">
        <v>62</v>
      </c>
      <c r="E142" s="2" t="s">
        <v>81</v>
      </c>
      <c r="F142" s="2" t="s">
        <v>17</v>
      </c>
      <c r="G142" s="2" t="s">
        <v>18</v>
      </c>
      <c r="H142" s="2">
        <v>17</v>
      </c>
      <c r="I142" s="2" t="str">
        <f>VLOOKUP(D142,부서코드표!$A$2:$C$11,2,0)</f>
        <v>디자인</v>
      </c>
      <c r="J142" s="2" t="str">
        <f>VLOOKUP(E142,프로그램표!$A$2:$E$7,2,0)</f>
        <v>AI 고객응대 실무</v>
      </c>
      <c r="K142" s="2">
        <f>VLOOKUP(E142,프로그램표!$A$2:$E$7,3,0)</f>
        <v>6</v>
      </c>
      <c r="L142" s="3">
        <f>K142*VLOOKUP(E142,프로그램표!$A$2:$E$7,4,0)*IF(G142="Y",1,0.5)</f>
        <v>72000</v>
      </c>
      <c r="M142" s="2" t="str">
        <f t="shared" si="4"/>
        <v>우선</v>
      </c>
    </row>
    <row r="143" spans="1:13" ht="15.35" x14ac:dyDescent="0.6">
      <c r="A143" s="2">
        <v>142</v>
      </c>
      <c r="B143" s="2" t="s">
        <v>321</v>
      </c>
      <c r="C143" s="2" t="s">
        <v>322</v>
      </c>
      <c r="D143" s="2" t="s">
        <v>84</v>
      </c>
      <c r="E143" s="2" t="s">
        <v>16</v>
      </c>
      <c r="F143" s="2" t="s">
        <v>94</v>
      </c>
      <c r="G143" s="2" t="s">
        <v>18</v>
      </c>
      <c r="H143" s="2">
        <v>22</v>
      </c>
      <c r="I143" s="2" t="str">
        <f>VLOOKUP(D143,부서코드표!$A$2:$C$11,2,0)</f>
        <v>고객지원</v>
      </c>
      <c r="J143" s="2" t="str">
        <f>VLOOKUP(E143,프로그램표!$A$2:$E$7,2,0)</f>
        <v>AI 업무 기본</v>
      </c>
      <c r="K143" s="2">
        <f>VLOOKUP(E143,프로그램표!$A$2:$E$7,3,0)</f>
        <v>14</v>
      </c>
      <c r="L143" s="3">
        <f>K143*VLOOKUP(E143,프로그램표!$A$2:$E$7,4,0)*IF(G143="Y",1,0.5)</f>
        <v>210000</v>
      </c>
      <c r="M143" s="2" t="str">
        <f t="shared" si="4"/>
        <v>일반</v>
      </c>
    </row>
    <row r="144" spans="1:13" ht="15.35" x14ac:dyDescent="0.6">
      <c r="A144" s="2">
        <v>143</v>
      </c>
      <c r="B144" s="2" t="s">
        <v>323</v>
      </c>
      <c r="C144" s="2" t="s">
        <v>324</v>
      </c>
      <c r="D144" s="2" t="s">
        <v>33</v>
      </c>
      <c r="E144" s="2" t="s">
        <v>22</v>
      </c>
      <c r="F144" s="2" t="s">
        <v>42</v>
      </c>
      <c r="G144" s="2" t="s">
        <v>26</v>
      </c>
      <c r="H144" s="2">
        <v>23</v>
      </c>
      <c r="I144" s="2" t="str">
        <f>VLOOKUP(D144,부서코드표!$A$2:$C$11,2,0)</f>
        <v>물류</v>
      </c>
      <c r="J144" s="2" t="str">
        <f>VLOOKUP(E144,프로그램표!$A$2:$E$7,2,0)</f>
        <v>AI 사내 보고서 작성</v>
      </c>
      <c r="K144" s="2">
        <f>VLOOKUP(E144,프로그램표!$A$2:$E$7,3,0)</f>
        <v>7</v>
      </c>
      <c r="L144" s="3">
        <f>K144*VLOOKUP(E144,프로그램표!$A$2:$E$7,4,0)*IF(G144="Y",1,0.5)</f>
        <v>42000</v>
      </c>
      <c r="M144" s="2" t="str">
        <f t="shared" si="4"/>
        <v>일반</v>
      </c>
    </row>
    <row r="145" spans="1:13" ht="15.35" x14ac:dyDescent="0.6">
      <c r="A145" s="2">
        <v>144</v>
      </c>
      <c r="B145" s="2" t="s">
        <v>325</v>
      </c>
      <c r="C145" s="2" t="s">
        <v>326</v>
      </c>
      <c r="D145" s="2" t="s">
        <v>87</v>
      </c>
      <c r="E145" s="2" t="s">
        <v>16</v>
      </c>
      <c r="F145" s="2" t="s">
        <v>54</v>
      </c>
      <c r="G145" s="2" t="s">
        <v>18</v>
      </c>
      <c r="H145" s="2">
        <v>0</v>
      </c>
      <c r="I145" s="2" t="str">
        <f>VLOOKUP(D145,부서코드표!$A$2:$C$11,2,0)</f>
        <v>재무</v>
      </c>
      <c r="J145" s="2" t="str">
        <f>VLOOKUP(E145,프로그램표!$A$2:$E$7,2,0)</f>
        <v>AI 업무 기본</v>
      </c>
      <c r="K145" s="2">
        <f>VLOOKUP(E145,프로그램표!$A$2:$E$7,3,0)</f>
        <v>14</v>
      </c>
      <c r="L145" s="3">
        <f>K145*VLOOKUP(E145,프로그램표!$A$2:$E$7,4,0)*IF(G145="Y",1,0.5)</f>
        <v>210000</v>
      </c>
      <c r="M145" s="2" t="str">
        <f t="shared" si="4"/>
        <v>우선</v>
      </c>
    </row>
    <row r="146" spans="1:13" ht="15.35" x14ac:dyDescent="0.6">
      <c r="A146" s="2">
        <v>145</v>
      </c>
      <c r="B146" s="2" t="s">
        <v>327</v>
      </c>
      <c r="C146" s="2" t="s">
        <v>328</v>
      </c>
      <c r="D146" s="2" t="s">
        <v>84</v>
      </c>
      <c r="E146" s="2" t="s">
        <v>22</v>
      </c>
      <c r="F146" s="2" t="s">
        <v>17</v>
      </c>
      <c r="G146" s="2" t="s">
        <v>18</v>
      </c>
      <c r="H146" s="2">
        <v>24</v>
      </c>
      <c r="I146" s="2" t="str">
        <f>VLOOKUP(D146,부서코드표!$A$2:$C$11,2,0)</f>
        <v>고객지원</v>
      </c>
      <c r="J146" s="2" t="str">
        <f>VLOOKUP(E146,프로그램표!$A$2:$E$7,2,0)</f>
        <v>AI 사내 보고서 작성</v>
      </c>
      <c r="K146" s="2">
        <f>VLOOKUP(E146,프로그램표!$A$2:$E$7,3,0)</f>
        <v>7</v>
      </c>
      <c r="L146" s="3">
        <f>K146*VLOOKUP(E146,프로그램표!$A$2:$E$7,4,0)*IF(G146="Y",1,0.5)</f>
        <v>84000</v>
      </c>
      <c r="M146" s="2" t="str">
        <f t="shared" si="4"/>
        <v>일반</v>
      </c>
    </row>
    <row r="147" spans="1:13" ht="15.35" x14ac:dyDescent="0.6">
      <c r="A147" s="2">
        <v>146</v>
      </c>
      <c r="B147" s="2" t="s">
        <v>329</v>
      </c>
      <c r="C147" s="2" t="s">
        <v>330</v>
      </c>
      <c r="D147" s="2" t="s">
        <v>51</v>
      </c>
      <c r="E147" s="2" t="s">
        <v>41</v>
      </c>
      <c r="F147" s="2" t="s">
        <v>48</v>
      </c>
      <c r="G147" s="2" t="s">
        <v>18</v>
      </c>
      <c r="H147" s="2">
        <v>21</v>
      </c>
      <c r="I147" s="2" t="str">
        <f>VLOOKUP(D147,부서코드표!$A$2:$C$11,2,0)</f>
        <v>제작</v>
      </c>
      <c r="J147" s="2" t="str">
        <f>VLOOKUP(E147,프로그램표!$A$2:$E$7,2,0)</f>
        <v>AI 데이터 분석 기초</v>
      </c>
      <c r="K147" s="2">
        <f>VLOOKUP(E147,프로그램표!$A$2:$E$7,3,0)</f>
        <v>10</v>
      </c>
      <c r="L147" s="3">
        <f>K147*VLOOKUP(E147,프로그램표!$A$2:$E$7,4,0)*IF(G147="Y",1,0.5)</f>
        <v>150000</v>
      </c>
      <c r="M147" s="2" t="str">
        <f t="shared" si="4"/>
        <v>일반</v>
      </c>
    </row>
    <row r="148" spans="1:13" ht="15.35" x14ac:dyDescent="0.6">
      <c r="A148" s="2">
        <v>147</v>
      </c>
      <c r="B148" s="2" t="s">
        <v>331</v>
      </c>
      <c r="C148" s="2" t="s">
        <v>332</v>
      </c>
      <c r="D148" s="2" t="s">
        <v>15</v>
      </c>
      <c r="E148" s="2" t="s">
        <v>16</v>
      </c>
      <c r="F148" s="2" t="s">
        <v>30</v>
      </c>
      <c r="G148" s="2" t="s">
        <v>18</v>
      </c>
      <c r="H148" s="2">
        <v>29</v>
      </c>
      <c r="I148" s="2" t="str">
        <f>VLOOKUP(D148,부서코드표!$A$2:$C$11,2,0)</f>
        <v>마케팅</v>
      </c>
      <c r="J148" s="2" t="str">
        <f>VLOOKUP(E148,프로그램표!$A$2:$E$7,2,0)</f>
        <v>AI 업무 기본</v>
      </c>
      <c r="K148" s="2">
        <f>VLOOKUP(E148,프로그램표!$A$2:$E$7,3,0)</f>
        <v>14</v>
      </c>
      <c r="L148" s="3">
        <f>K148*VLOOKUP(E148,프로그램표!$A$2:$E$7,4,0)*IF(G148="Y",1,0.5)</f>
        <v>210000</v>
      </c>
      <c r="M148" s="2" t="str">
        <f t="shared" si="4"/>
        <v>일반</v>
      </c>
    </row>
    <row r="149" spans="1:13" ht="15.35" x14ac:dyDescent="0.6">
      <c r="A149" s="2">
        <v>148</v>
      </c>
      <c r="B149" s="2" t="s">
        <v>333</v>
      </c>
      <c r="C149" s="2" t="s">
        <v>334</v>
      </c>
      <c r="D149" s="2" t="s">
        <v>62</v>
      </c>
      <c r="E149" s="2" t="s">
        <v>16</v>
      </c>
      <c r="F149" s="2" t="s">
        <v>59</v>
      </c>
      <c r="G149" s="2" t="s">
        <v>18</v>
      </c>
      <c r="H149" s="2">
        <v>4</v>
      </c>
      <c r="I149" s="2" t="str">
        <f>VLOOKUP(D149,부서코드표!$A$2:$C$11,2,0)</f>
        <v>디자인</v>
      </c>
      <c r="J149" s="2" t="str">
        <f>VLOOKUP(E149,프로그램표!$A$2:$E$7,2,0)</f>
        <v>AI 업무 기본</v>
      </c>
      <c r="K149" s="2">
        <f>VLOOKUP(E149,프로그램표!$A$2:$E$7,3,0)</f>
        <v>14</v>
      </c>
      <c r="L149" s="3">
        <f>K149*VLOOKUP(E149,프로그램표!$A$2:$E$7,4,0)*IF(G149="Y",1,0.5)</f>
        <v>210000</v>
      </c>
      <c r="M149" s="2" t="str">
        <f t="shared" si="4"/>
        <v>우선</v>
      </c>
    </row>
    <row r="150" spans="1:13" ht="15.35" x14ac:dyDescent="0.6">
      <c r="A150" s="2">
        <v>149</v>
      </c>
      <c r="B150" s="2" t="s">
        <v>335</v>
      </c>
      <c r="C150" s="2" t="s">
        <v>336</v>
      </c>
      <c r="D150" s="2" t="s">
        <v>62</v>
      </c>
      <c r="E150" s="2" t="s">
        <v>22</v>
      </c>
      <c r="F150" s="2" t="s">
        <v>30</v>
      </c>
      <c r="G150" s="2" t="s">
        <v>18</v>
      </c>
      <c r="H150" s="2">
        <v>16</v>
      </c>
      <c r="I150" s="2" t="str">
        <f>VLOOKUP(D150,부서코드표!$A$2:$C$11,2,0)</f>
        <v>디자인</v>
      </c>
      <c r="J150" s="2" t="str">
        <f>VLOOKUP(E150,프로그램표!$A$2:$E$7,2,0)</f>
        <v>AI 사내 보고서 작성</v>
      </c>
      <c r="K150" s="2">
        <f>VLOOKUP(E150,프로그램표!$A$2:$E$7,3,0)</f>
        <v>7</v>
      </c>
      <c r="L150" s="3">
        <f>K150*VLOOKUP(E150,프로그램표!$A$2:$E$7,4,0)*IF(G150="Y",1,0.5)</f>
        <v>84000</v>
      </c>
      <c r="M150" s="2" t="str">
        <f t="shared" si="4"/>
        <v>우선</v>
      </c>
    </row>
    <row r="151" spans="1:13" ht="15.35" x14ac:dyDescent="0.6">
      <c r="A151" s="2">
        <v>150</v>
      </c>
      <c r="B151" s="2" t="s">
        <v>337</v>
      </c>
      <c r="C151" s="2" t="s">
        <v>338</v>
      </c>
      <c r="D151" s="2" t="s">
        <v>29</v>
      </c>
      <c r="E151" s="2" t="s">
        <v>22</v>
      </c>
      <c r="F151" s="2" t="s">
        <v>48</v>
      </c>
      <c r="G151" s="2" t="s">
        <v>18</v>
      </c>
      <c r="H151" s="2">
        <v>17</v>
      </c>
      <c r="I151" s="2" t="str">
        <f>VLOOKUP(D151,부서코드표!$A$2:$C$11,2,0)</f>
        <v>디지털교육</v>
      </c>
      <c r="J151" s="2" t="str">
        <f>VLOOKUP(E151,프로그램표!$A$2:$E$7,2,0)</f>
        <v>AI 사내 보고서 작성</v>
      </c>
      <c r="K151" s="2">
        <f>VLOOKUP(E151,프로그램표!$A$2:$E$7,3,0)</f>
        <v>7</v>
      </c>
      <c r="L151" s="3">
        <f>K151*VLOOKUP(E151,프로그램표!$A$2:$E$7,4,0)*IF(G151="Y",1,0.5)</f>
        <v>84000</v>
      </c>
      <c r="M151" s="2" t="str">
        <f t="shared" si="4"/>
        <v>우선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4.35" x14ac:dyDescent="0.5"/>
  <cols>
    <col min="1" max="1" width="10" customWidth="1"/>
    <col min="2" max="2" width="16" customWidth="1"/>
    <col min="3" max="3" width="10" customWidth="1"/>
  </cols>
  <sheetData>
    <row r="1" spans="1:3" ht="15.35" x14ac:dyDescent="0.5">
      <c r="A1" s="1" t="s">
        <v>3</v>
      </c>
      <c r="B1" s="1" t="s">
        <v>8</v>
      </c>
      <c r="C1" s="1" t="s">
        <v>339</v>
      </c>
    </row>
    <row r="2" spans="1:3" ht="15.35" x14ac:dyDescent="0.6">
      <c r="A2" s="2" t="s">
        <v>21</v>
      </c>
      <c r="B2" s="2" t="s">
        <v>340</v>
      </c>
      <c r="C2" s="2" t="s">
        <v>341</v>
      </c>
    </row>
    <row r="3" spans="1:3" ht="15.35" x14ac:dyDescent="0.6">
      <c r="A3" s="2" t="s">
        <v>62</v>
      </c>
      <c r="B3" s="2" t="s">
        <v>342</v>
      </c>
      <c r="C3" s="2" t="s">
        <v>341</v>
      </c>
    </row>
    <row r="4" spans="1:3" ht="15.35" x14ac:dyDescent="0.6">
      <c r="A4" s="2" t="s">
        <v>29</v>
      </c>
      <c r="B4" s="2" t="s">
        <v>343</v>
      </c>
      <c r="C4" s="2" t="s">
        <v>343</v>
      </c>
    </row>
    <row r="5" spans="1:3" ht="15.35" x14ac:dyDescent="0.6">
      <c r="A5" s="2" t="s">
        <v>37</v>
      </c>
      <c r="B5" s="2" t="s">
        <v>344</v>
      </c>
      <c r="C5" s="2" t="s">
        <v>345</v>
      </c>
    </row>
    <row r="6" spans="1:3" ht="15.35" x14ac:dyDescent="0.6">
      <c r="A6" s="2" t="s">
        <v>15</v>
      </c>
      <c r="B6" s="2" t="s">
        <v>346</v>
      </c>
      <c r="C6" s="2" t="s">
        <v>345</v>
      </c>
    </row>
    <row r="7" spans="1:3" ht="15.35" x14ac:dyDescent="0.6">
      <c r="A7" s="2" t="s">
        <v>84</v>
      </c>
      <c r="B7" s="2" t="s">
        <v>347</v>
      </c>
      <c r="C7" s="2" t="s">
        <v>345</v>
      </c>
    </row>
    <row r="8" spans="1:3" ht="15.35" x14ac:dyDescent="0.6">
      <c r="A8" s="2" t="s">
        <v>51</v>
      </c>
      <c r="B8" s="2" t="s">
        <v>348</v>
      </c>
      <c r="C8" s="2" t="s">
        <v>349</v>
      </c>
    </row>
    <row r="9" spans="1:3" ht="15.35" x14ac:dyDescent="0.6">
      <c r="A9" s="2" t="s">
        <v>33</v>
      </c>
      <c r="B9" s="2" t="s">
        <v>350</v>
      </c>
      <c r="C9" s="2" t="s">
        <v>349</v>
      </c>
    </row>
    <row r="10" spans="1:3" ht="15.35" x14ac:dyDescent="0.6">
      <c r="A10" s="2" t="s">
        <v>45</v>
      </c>
      <c r="B10" s="2" t="s">
        <v>351</v>
      </c>
      <c r="C10" s="2" t="s">
        <v>352</v>
      </c>
    </row>
    <row r="11" spans="1:3" ht="15.35" x14ac:dyDescent="0.6">
      <c r="A11" s="2" t="s">
        <v>87</v>
      </c>
      <c r="B11" s="2" t="s">
        <v>353</v>
      </c>
      <c r="C11" s="2" t="s">
        <v>352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/>
  </sheetViews>
  <sheetFormatPr defaultRowHeight="14.35" x14ac:dyDescent="0.5"/>
  <cols>
    <col min="1" max="1" width="12" customWidth="1"/>
    <col min="2" max="2" width="22" customWidth="1"/>
    <col min="3" max="3" width="10" customWidth="1"/>
    <col min="4" max="4" width="17" customWidth="1"/>
    <col min="5" max="5" width="9" customWidth="1"/>
  </cols>
  <sheetData>
    <row r="1" spans="1:5" ht="15.35" x14ac:dyDescent="0.5">
      <c r="A1" s="1" t="s">
        <v>4</v>
      </c>
      <c r="B1" s="1" t="s">
        <v>9</v>
      </c>
      <c r="C1" s="1" t="s">
        <v>10</v>
      </c>
      <c r="D1" s="1" t="s">
        <v>354</v>
      </c>
      <c r="E1" s="1" t="s">
        <v>355</v>
      </c>
    </row>
    <row r="2" spans="1:5" ht="15.35" x14ac:dyDescent="0.6">
      <c r="A2" s="2" t="s">
        <v>16</v>
      </c>
      <c r="B2" s="2" t="s">
        <v>356</v>
      </c>
      <c r="C2" s="2">
        <v>14</v>
      </c>
      <c r="D2" s="2">
        <v>15000</v>
      </c>
      <c r="E2" s="2">
        <v>30</v>
      </c>
    </row>
    <row r="3" spans="1:5" ht="15.35" x14ac:dyDescent="0.6">
      <c r="A3" s="2" t="s">
        <v>41</v>
      </c>
      <c r="B3" s="2" t="s">
        <v>357</v>
      </c>
      <c r="C3" s="2">
        <v>10</v>
      </c>
      <c r="D3" s="2">
        <v>15000</v>
      </c>
      <c r="E3" s="2">
        <v>25</v>
      </c>
    </row>
    <row r="4" spans="1:5" ht="15.35" x14ac:dyDescent="0.6">
      <c r="A4" s="2" t="s">
        <v>22</v>
      </c>
      <c r="B4" s="2" t="s">
        <v>358</v>
      </c>
      <c r="C4" s="2">
        <v>7</v>
      </c>
      <c r="D4" s="2">
        <v>12000</v>
      </c>
      <c r="E4" s="2">
        <v>40</v>
      </c>
    </row>
    <row r="5" spans="1:5" ht="15.35" x14ac:dyDescent="0.6">
      <c r="A5" s="2" t="s">
        <v>38</v>
      </c>
      <c r="B5" s="2" t="s">
        <v>359</v>
      </c>
      <c r="C5" s="2">
        <v>4</v>
      </c>
      <c r="D5" s="2">
        <v>10000</v>
      </c>
      <c r="E5" s="2">
        <v>50</v>
      </c>
    </row>
    <row r="6" spans="1:5" ht="15.35" x14ac:dyDescent="0.6">
      <c r="A6" s="2" t="s">
        <v>34</v>
      </c>
      <c r="B6" s="2" t="s">
        <v>360</v>
      </c>
      <c r="C6" s="2">
        <v>12</v>
      </c>
      <c r="D6" s="2">
        <v>15000</v>
      </c>
      <c r="E6" s="2">
        <v>20</v>
      </c>
    </row>
    <row r="7" spans="1:5" ht="15.35" x14ac:dyDescent="0.6">
      <c r="A7" s="2" t="s">
        <v>81</v>
      </c>
      <c r="B7" s="2" t="s">
        <v>361</v>
      </c>
      <c r="C7" s="2">
        <v>6</v>
      </c>
      <c r="D7" s="2">
        <v>12000</v>
      </c>
      <c r="E7" s="2">
        <v>35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35" x14ac:dyDescent="0.5"/>
  <cols>
    <col min="1" max="1" width="12" customWidth="1"/>
    <col min="2" max="2" width="22" customWidth="1"/>
    <col min="3" max="3" width="10" customWidth="1"/>
    <col min="4" max="4" width="9" customWidth="1"/>
    <col min="5" max="5" width="15" customWidth="1"/>
  </cols>
  <sheetData>
    <row r="1" spans="1:5" ht="15.35" x14ac:dyDescent="0.5">
      <c r="A1" s="1" t="s">
        <v>4</v>
      </c>
      <c r="B1" s="1" t="s">
        <v>9</v>
      </c>
      <c r="C1" s="1" t="s">
        <v>362</v>
      </c>
      <c r="D1" s="1" t="s">
        <v>355</v>
      </c>
      <c r="E1" s="1" t="s">
        <v>363</v>
      </c>
    </row>
    <row r="2" spans="1:5" ht="15.35" x14ac:dyDescent="0.6">
      <c r="A2" s="2" t="s">
        <v>16</v>
      </c>
      <c r="B2" s="2" t="s">
        <v>356</v>
      </c>
      <c r="C2" s="2">
        <f>COUNTIF(신청자명단!$E:$E,A2)</f>
        <v>49</v>
      </c>
      <c r="D2" s="2">
        <f>VLOOKUP(A2,프로그램표!$A$2:$E$7,5,0)</f>
        <v>30</v>
      </c>
      <c r="E2" s="2" t="str">
        <f t="shared" ref="E2:E7" si="0">ROUND(C2/D2*100,1)&amp;"%"</f>
        <v>163.3%</v>
      </c>
    </row>
    <row r="3" spans="1:5" ht="15.35" x14ac:dyDescent="0.6">
      <c r="A3" s="2" t="s">
        <v>41</v>
      </c>
      <c r="B3" s="2" t="s">
        <v>357</v>
      </c>
      <c r="C3" s="2">
        <f>COUNTIF(신청자명단!$E:$E,A3)</f>
        <v>25</v>
      </c>
      <c r="D3" s="2">
        <f>VLOOKUP(A3,프로그램표!$A$2:$E$7,5,0)</f>
        <v>25</v>
      </c>
      <c r="E3" s="2" t="str">
        <f t="shared" si="0"/>
        <v>100%</v>
      </c>
    </row>
    <row r="4" spans="1:5" ht="15.35" x14ac:dyDescent="0.6">
      <c r="A4" s="2" t="s">
        <v>22</v>
      </c>
      <c r="B4" s="2" t="s">
        <v>358</v>
      </c>
      <c r="C4" s="2">
        <f>COUNTIF(신청자명단!$E:$E,A4)</f>
        <v>23</v>
      </c>
      <c r="D4" s="2">
        <f>VLOOKUP(A4,프로그램표!$A$2:$E$7,5,0)</f>
        <v>40</v>
      </c>
      <c r="E4" s="2" t="str">
        <f t="shared" si="0"/>
        <v>57.5%</v>
      </c>
    </row>
    <row r="5" spans="1:5" ht="15.35" x14ac:dyDescent="0.6">
      <c r="A5" s="2" t="s">
        <v>38</v>
      </c>
      <c r="B5" s="2" t="s">
        <v>359</v>
      </c>
      <c r="C5" s="2">
        <f>COUNTIF(신청자명단!$E:$E,A5)</f>
        <v>20</v>
      </c>
      <c r="D5" s="2">
        <f>VLOOKUP(A5,프로그램표!$A$2:$E$7,5,0)</f>
        <v>50</v>
      </c>
      <c r="E5" s="2" t="str">
        <f t="shared" si="0"/>
        <v>40%</v>
      </c>
    </row>
    <row r="6" spans="1:5" ht="15.35" x14ac:dyDescent="0.6">
      <c r="A6" s="2" t="s">
        <v>34</v>
      </c>
      <c r="B6" s="2" t="s">
        <v>360</v>
      </c>
      <c r="C6" s="2">
        <f>COUNTIF(신청자명단!$E:$E,A6)</f>
        <v>16</v>
      </c>
      <c r="D6" s="2">
        <f>VLOOKUP(A6,프로그램표!$A$2:$E$7,5,0)</f>
        <v>20</v>
      </c>
      <c r="E6" s="2" t="str">
        <f t="shared" si="0"/>
        <v>80%</v>
      </c>
    </row>
    <row r="7" spans="1:5" ht="15.35" x14ac:dyDescent="0.6">
      <c r="A7" s="2" t="s">
        <v>81</v>
      </c>
      <c r="B7" s="2" t="s">
        <v>361</v>
      </c>
      <c r="C7" s="2">
        <f>COUNTIF(신청자명단!$E:$E,A7)</f>
        <v>17</v>
      </c>
      <c r="D7" s="2">
        <f>VLOOKUP(A7,프로그램표!$A$2:$E$7,5,0)</f>
        <v>35</v>
      </c>
      <c r="E7" s="2" t="str">
        <f t="shared" si="0"/>
        <v>48.6%</v>
      </c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showGridLines="0" workbookViewId="0"/>
  </sheetViews>
  <sheetFormatPr defaultRowHeight="14.35" x14ac:dyDescent="0.5"/>
  <cols>
    <col min="1" max="1" width="19" customWidth="1"/>
    <col min="2" max="2" width="85" customWidth="1"/>
  </cols>
  <sheetData>
    <row r="1" spans="1:2" ht="26" customHeight="1" x14ac:dyDescent="0.65">
      <c r="A1" s="5" t="s">
        <v>364</v>
      </c>
      <c r="B1" s="5" t="s">
        <v>365</v>
      </c>
    </row>
    <row r="2" spans="1:2" ht="26" customHeight="1" x14ac:dyDescent="0.65">
      <c r="A2" s="4" t="s">
        <v>366</v>
      </c>
      <c r="B2" s="4" t="s">
        <v>367</v>
      </c>
    </row>
    <row r="3" spans="1:2" ht="26" customHeight="1" x14ac:dyDescent="0.65">
      <c r="A3" s="4" t="s">
        <v>368</v>
      </c>
      <c r="B3" s="4" t="s">
        <v>369</v>
      </c>
    </row>
    <row r="4" spans="1:2" ht="26" customHeight="1" x14ac:dyDescent="0.65">
      <c r="A4" s="4" t="s">
        <v>370</v>
      </c>
      <c r="B4" s="4" t="s">
        <v>371</v>
      </c>
    </row>
    <row r="5" spans="1:2" ht="26" customHeight="1" x14ac:dyDescent="0.65">
      <c r="A5" s="4" t="s">
        <v>372</v>
      </c>
      <c r="B5" s="4" t="s">
        <v>373</v>
      </c>
    </row>
    <row r="6" spans="1:2" ht="26" customHeight="1" x14ac:dyDescent="0.65">
      <c r="A6" s="4" t="s">
        <v>374</v>
      </c>
      <c r="B6" s="4" t="s">
        <v>375</v>
      </c>
    </row>
    <row r="7" spans="1:2" ht="26" customHeight="1" x14ac:dyDescent="0.65">
      <c r="A7" s="4" t="s">
        <v>376</v>
      </c>
      <c r="B7" s="4" t="s">
        <v>377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신청자명단</vt:lpstr>
      <vt:lpstr>부서코드표</vt:lpstr>
      <vt:lpstr>프로그램표</vt:lpstr>
      <vt:lpstr>집계</vt:lpstr>
      <vt:lpstr>실습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suhyun Hwang</cp:lastModifiedBy>
  <dcterms:modified xsi:type="dcterms:W3CDTF">2026-09-07T15:47:32Z</dcterms:modified>
</cp:coreProperties>
</file>